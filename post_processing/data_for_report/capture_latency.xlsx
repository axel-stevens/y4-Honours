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ents" sheetId="1" state="visible" r:id="rId3"/>
    <sheet name="Summary" sheetId="2" state="visible" r:id="rId4"/>
    <sheet name="Logg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<sst xmlns="http://schemas.openxmlformats.org/spreadsheetml/2006/main" count="45" uniqueCount="31">
  <si>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file</t>
  </si>
  <si>
    <t xml:space="preserve">capture_no</t>
  </si>
  <si>
    <t xml:space="preserve">switch_runtime_s</t>
  </si>
  <si>
    <t xml:space="preserve">capture_time_s</t>
  </si>
  <si>
    <t xml:space="preserve">latency_s</t>
  </si>
  <si>
    <t xml:space="preserve">settings_offset_s</t>
  </si>
  <si>
    <t xml:space="preserve">corrected_latency_s</t>
  </si>
  <si>
    <t xml:space="preserve">flight_log_1.csv</t>
  </si>
  <si>
    <t xml:space="preserve">flight_log_2.csv</t>
  </si>
  <si>
    <t xml:space="preserve">flight_log_3.csv</t>
  </si>
  <si>
    <t xml:space="preserve">flight_log_4.csv</t>
  </si>
  <si>
    <t xml:space="preserve">flight_log_5.csv</t>
  </si>
  <si>
    <t xml:space="preserve">group</t>
  </si>
  <si>
    <t xml:space="preserve">count</t>
  </si>
  <si>
    <t xml:space="preserve">mean_s</t>
  </si>
  <si>
    <t xml:space="preserve">std_dev_s</t>
  </si>
  <si>
    <t xml:space="preserve">min_s</t>
  </si>
  <si>
    <t xml:space="preserve">max_s</t>
  </si>
  <si>
    <t xml:space="preserve">All events</t>
  </si>
  <si>
    <t xml:space="preserve">Logs 1-4 (offset 4 s)</t>
  </si>
  <si>
    <t xml:space="preserve">Log 5</t>
  </si>
  <si>
    <t xml:space="preserve">Std dev is the sample std dev (STDEV). Corrected latency = raw latency minus the settings offset (4 s for logs 1-4, 0 for log 5).</t>
  </si>
  <si>
    <t xml:space="preserve">rows</t>
  </si>
  <si>
    <t xml:space="preserve">mean_interval_s</t>
  </si>
  <si>
    <t xml:space="preserve">std_dev_interval_s</t>
  </si>
  <si>
    <t xml:space="preserve">min_interval_s</t>
  </si>
  <si>
    <t xml:space="preserve">max_interval_s</t>
  </si>
  <si>
    <t xml:space="preserve">dropped_rows</t>
  </si>
  <si>
    <t xml:space="preserve">switch_flips</t>
  </si>
  <si>
    <t xml:space="preserve">captures</t>
  </si>
  <si>
    <t xml:space="preserve">flips_ignored_mid_capture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</si>
</sst>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</v>
      </c>
      <c r="C2" s="2" t="n">
        <v>25.7188361699998</v>
      </c>
      <c r="D2" s="2" t="n">
        <v>31.727216217</v>
      </c>
      <c r="E2" s="2" t="n">
        <f aca="false">D2-C2</f>
        <v>6.00838004700018</v>
      </c>
      <c r="F2" s="0" t="n">
        <v>4</v>
      </c>
      <c r="G2" s="2" t="n">
        <f aca="false">E2-F2</f>
        <v>2.00838004700018</v>
      </c>
    </row>
    <row r="3" customFormat="false" ht="15" hidden="false" customHeight="false" outlineLevel="0" collapsed="false">
      <c r="A3" s="0" t="s">
        <v>7</v>
      </c>
      <c r="B3" s="0" t="n">
        <v>2</v>
      </c>
      <c r="C3" s="2" t="n">
        <v>41.742707679</v>
      </c>
      <c r="D3" s="2" t="n">
        <v>47.750434653</v>
      </c>
      <c r="E3" s="2" t="n">
        <f aca="false">D3-C3</f>
        <v>6.00772697399998</v>
      </c>
      <c r="F3" s="0" t="n">
        <v>4</v>
      </c>
      <c r="G3" s="2" t="n">
        <f aca="false">E3-F3</f>
        <v>2.00772697399998</v>
      </c>
    </row>
    <row r="4" customFormat="false" ht="15" hidden="false" customHeight="false" outlineLevel="0" collapsed="false">
      <c r="A4" s="0" t="s">
        <v>7</v>
      </c>
      <c r="B4" s="0" t="n">
        <v>3</v>
      </c>
      <c r="C4" s="2" t="n">
        <v>55.7634198029998</v>
      </c>
      <c r="D4" s="2" t="n">
        <v>61.772048349</v>
      </c>
      <c r="E4" s="2" t="n">
        <f aca="false">D4-C4</f>
        <v>6.00862854600018</v>
      </c>
      <c r="F4" s="0" t="n">
        <v>4</v>
      </c>
      <c r="G4" s="2" t="n">
        <f aca="false">E4-F4</f>
        <v>2.00862854600017</v>
      </c>
    </row>
    <row r="5" customFormat="false" ht="15" hidden="false" customHeight="false" outlineLevel="0" collapsed="false">
      <c r="A5" s="0" t="s">
        <v>8</v>
      </c>
      <c r="B5" s="0" t="n">
        <v>1</v>
      </c>
      <c r="C5" s="2" t="n">
        <v>7.20959096500019</v>
      </c>
      <c r="D5" s="2" t="n">
        <v>13.21723305</v>
      </c>
      <c r="E5" s="2" t="n">
        <f aca="false">D5-C5</f>
        <v>6.00764208499981</v>
      </c>
      <c r="F5" s="0" t="n">
        <v>4</v>
      </c>
      <c r="G5" s="2" t="n">
        <f aca="false">E5-F5</f>
        <v>2.00764208499981</v>
      </c>
    </row>
    <row r="6" customFormat="false" ht="15" hidden="false" customHeight="false" outlineLevel="0" collapsed="false">
      <c r="A6" s="0" t="s">
        <v>9</v>
      </c>
      <c r="B6" s="0" t="n">
        <v>1</v>
      </c>
      <c r="C6" s="2" t="n">
        <v>56.4067968279999</v>
      </c>
      <c r="D6" s="2" t="n">
        <v>62.415155986</v>
      </c>
      <c r="E6" s="2" t="n">
        <f aca="false">D6-C6</f>
        <v>6.00835915800008</v>
      </c>
      <c r="F6" s="0" t="n">
        <v>4</v>
      </c>
      <c r="G6" s="2" t="n">
        <f aca="false">E6-F6</f>
        <v>2.00835915800008</v>
      </c>
    </row>
    <row r="7" customFormat="false" ht="15" hidden="false" customHeight="false" outlineLevel="0" collapsed="false">
      <c r="A7" s="0" t="s">
        <v>9</v>
      </c>
      <c r="B7" s="0" t="n">
        <v>2</v>
      </c>
      <c r="C7" s="2" t="n">
        <v>69.4265471839999</v>
      </c>
      <c r="D7" s="2" t="n">
        <v>75.4354756179998</v>
      </c>
      <c r="E7" s="2" t="n">
        <f aca="false">D7-C7</f>
        <v>6.00892843399993</v>
      </c>
      <c r="F7" s="0" t="n">
        <v>4</v>
      </c>
      <c r="G7" s="2" t="n">
        <f aca="false">E7-F7</f>
        <v>2.00892843399993</v>
      </c>
    </row>
    <row r="8" customFormat="false" ht="15" hidden="false" customHeight="false" outlineLevel="0" collapsed="false">
      <c r="A8" s="0" t="s">
        <v>9</v>
      </c>
      <c r="B8" s="0" t="n">
        <v>3</v>
      </c>
      <c r="C8" s="2" t="n">
        <v>258.691031319</v>
      </c>
      <c r="D8" s="2" t="n">
        <v>264.699526884</v>
      </c>
      <c r="E8" s="2" t="n">
        <f aca="false">D8-C8</f>
        <v>6.00849556500003</v>
      </c>
      <c r="F8" s="0" t="n">
        <v>4</v>
      </c>
      <c r="G8" s="2" t="n">
        <f aca="false">E8-F8</f>
        <v>2.00849556500003</v>
      </c>
    </row>
    <row r="9" customFormat="false" ht="15" hidden="false" customHeight="false" outlineLevel="0" collapsed="false">
      <c r="A9" s="0" t="s">
        <v>9</v>
      </c>
      <c r="B9" s="0" t="n">
        <v>4</v>
      </c>
      <c r="C9" s="2" t="n">
        <v>303.755163406</v>
      </c>
      <c r="D9" s="2" t="n">
        <v>309.763779489</v>
      </c>
      <c r="E9" s="2" t="n">
        <f aca="false">D9-C9</f>
        <v>6.0086160829996</v>
      </c>
      <c r="F9" s="0" t="n">
        <v>4</v>
      </c>
      <c r="G9" s="2" t="n">
        <f aca="false">E9-F9</f>
        <v>2.00861608299959</v>
      </c>
    </row>
    <row r="10" customFormat="false" ht="15" hidden="false" customHeight="false" outlineLevel="0" collapsed="false">
      <c r="A10" s="0" t="s">
        <v>10</v>
      </c>
      <c r="B10" s="0" t="n">
        <v>1</v>
      </c>
      <c r="C10" s="2" t="n">
        <v>42.990668384</v>
      </c>
      <c r="D10" s="2" t="n">
        <v>48.9988935049996</v>
      </c>
      <c r="E10" s="2" t="n">
        <f aca="false">D10-C10</f>
        <v>6.00822512099965</v>
      </c>
      <c r="F10" s="0" t="n">
        <v>4</v>
      </c>
      <c r="G10" s="2" t="n">
        <f aca="false">E10-F10</f>
        <v>2.00822512099965</v>
      </c>
    </row>
    <row r="11" customFormat="false" ht="15" hidden="false" customHeight="false" outlineLevel="0" collapsed="false">
      <c r="A11" s="0" t="s">
        <v>10</v>
      </c>
      <c r="B11" s="0" t="n">
        <v>2</v>
      </c>
      <c r="C11" s="2" t="n">
        <v>58.0133478849998</v>
      </c>
      <c r="D11" s="2" t="n">
        <v>64.0220375419999</v>
      </c>
      <c r="E11" s="2" t="n">
        <f aca="false">D11-C11</f>
        <v>6.0086896570001</v>
      </c>
      <c r="F11" s="0" t="n">
        <v>4</v>
      </c>
      <c r="G11" s="2" t="n">
        <f aca="false">E11-F11</f>
        <v>2.0086896570001</v>
      </c>
    </row>
    <row r="12" customFormat="false" ht="15" hidden="false" customHeight="false" outlineLevel="0" collapsed="false">
      <c r="A12" s="0" t="s">
        <v>11</v>
      </c>
      <c r="B12" s="0" t="n">
        <v>1</v>
      </c>
      <c r="C12" s="2" t="n">
        <v>53.376787056</v>
      </c>
      <c r="D12" s="2" t="n">
        <v>55.3798972</v>
      </c>
      <c r="E12" s="2" t="n">
        <f aca="false">D12-C12</f>
        <v>2.00311014399995</v>
      </c>
      <c r="F12" s="0" t="n">
        <v>0</v>
      </c>
      <c r="G12" s="2" t="n">
        <f aca="false">E12-F12</f>
        <v>2.00311014399995</v>
      </c>
    </row>
    <row r="13" customFormat="false" ht="15" hidden="false" customHeight="false" outlineLevel="0" collapsed="false">
      <c r="A13" s="0" t="s">
        <v>11</v>
      </c>
      <c r="B13" s="0" t="n">
        <v>2</v>
      </c>
      <c r="C13" s="2" t="n">
        <v>78.4141146889997</v>
      </c>
      <c r="D13" s="2" t="n">
        <v>80.416796167</v>
      </c>
      <c r="E13" s="2" t="n">
        <f aca="false">D13-C13</f>
        <v>2.00268147800034</v>
      </c>
      <c r="F13" s="0" t="n">
        <v>0</v>
      </c>
      <c r="G13" s="2" t="n">
        <f aca="false">E13-F13</f>
        <v>2.00268147800034</v>
      </c>
    </row>
    <row r="14" customFormat="false" ht="15" hidden="false" customHeight="false" outlineLevel="0" collapsed="false">
      <c r="A14" s="0" t="s">
        <v>11</v>
      </c>
      <c r="B14" s="0" t="n">
        <v>3</v>
      </c>
      <c r="C14" s="2" t="n">
        <v>99.4455833279999</v>
      </c>
      <c r="D14" s="2" t="n">
        <v>101.448664565</v>
      </c>
      <c r="E14" s="2" t="n">
        <f aca="false">D14-C14</f>
        <v>2.00308123700002</v>
      </c>
      <c r="F14" s="0" t="n">
        <v>0</v>
      </c>
      <c r="G14" s="2" t="n">
        <f aca="false">E14-F14</f>
        <v>2.00308123700002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customFormat="false" ht="15" hidden="false" customHeight="false" outlineLevel="0" collapsed="false">
      <c r="A2" s="0" t="s">
        <v>18</v>
      </c>
      <c r="B2" s="0" t="n">
        <f aca="false">COUNT(Events!$G$2:$G$14)</f>
        <v>13</v>
      </c>
      <c r="C2" s="2" t="n">
        <f aca="false">AVERAGE(Events!$G$2:$G$14)</f>
        <v>2.0071203483846</v>
      </c>
      <c r="D2" s="2" t="n">
        <f aca="false">STDEV(Events!$G$2:$G$14)</f>
        <v>0.00240168261069021</v>
      </c>
      <c r="E2" s="2" t="n">
        <f aca="false">MIN(Events!$G$2:$G$14)</f>
        <v>2.00268147800034</v>
      </c>
      <c r="F2" s="2" t="n">
        <f aca="false">MAX(Events!$G$2:$G$14)</f>
        <v>2.00892843399993</v>
      </c>
    </row>
    <row r="3" customFormat="false" ht="15" hidden="false" customHeight="false" outlineLevel="0" collapsed="false">
      <c r="A3" s="0" t="s">
        <v>19</v>
      </c>
      <c r="B3" s="0" t="n">
        <f aca="false">COUNT(Events!$G$2:$G$11)</f>
        <v>10</v>
      </c>
      <c r="C3" s="2" t="n">
        <f aca="false">AVERAGE(Events!$G$2:$G$11)</f>
        <v>2.00836916699995</v>
      </c>
      <c r="D3" s="2" t="n">
        <f aca="false">STDEV(Events!$G$2:$G$11)</f>
        <v>0.000411196457148769</v>
      </c>
      <c r="E3" s="2" t="n">
        <f aca="false">MIN(Events!$G$2:$G$11)</f>
        <v>2.00764208499981</v>
      </c>
      <c r="F3" s="2" t="n">
        <f aca="false">MAX(Events!$G$2:$G$11)</f>
        <v>2.00892843399993</v>
      </c>
    </row>
    <row r="4" customFormat="false" ht="15" hidden="false" customHeight="false" outlineLevel="0" collapsed="false">
      <c r="A4" s="0" t="s">
        <v>20</v>
      </c>
      <c r="B4" s="0" t="n">
        <f aca="false">COUNT(Events!$G$12:$G$14)</f>
        <v>3</v>
      </c>
      <c r="C4" s="2" t="n">
        <f aca="false">AVERAGE(Events!$G$12:$G$14)</f>
        <v>2.00295761966677</v>
      </c>
      <c r="D4" s="2" t="n">
        <f aca="false">STDEV(Events!$G$12:$G$14)</f>
        <v>0.000239582070728309</v>
      </c>
      <c r="E4" s="2" t="n">
        <f aca="false">MIN(Events!$G$12:$G$14)</f>
        <v>2.00268147800034</v>
      </c>
      <c r="F4" s="2" t="n">
        <f aca="false">MAX(Events!$G$12:$G$14)</f>
        <v>2.00311014399995</v>
      </c>
    </row>
    <row r="6" customFormat="false" ht="15" hidden="false" customHeight="false" outlineLevel="0" collapsed="false">
      <c r="A6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customFormat="false" ht="15" hidden="false" customHeight="false" outlineLevel="0" collapsed="false">
      <c r="A2" s="0" t="s">
        <v>7</v>
      </c>
      <c r="B2" s="0" t="n">
        <v>74</v>
      </c>
      <c r="C2" s="0" t="n">
        <v>1.0014</v>
      </c>
      <c r="D2" s="0" t="n">
        <v>0.00025</v>
      </c>
      <c r="E2" s="0" t="n">
        <v>1.0004</v>
      </c>
      <c r="F2" s="0" t="n">
        <v>1.0024</v>
      </c>
      <c r="G2" s="0" t="n">
        <v>0</v>
      </c>
      <c r="H2" s="0" t="n">
        <v>4</v>
      </c>
      <c r="I2" s="0" t="n">
        <v>3</v>
      </c>
      <c r="J2" s="0" t="n">
        <v>1</v>
      </c>
    </row>
    <row r="3" customFormat="false" ht="15" hidden="false" customHeight="false" outlineLevel="0" collapsed="false">
      <c r="A3" s="0" t="s">
        <v>8</v>
      </c>
      <c r="B3" s="0" t="n">
        <v>57</v>
      </c>
      <c r="C3" s="0" t="n">
        <v>1.0014</v>
      </c>
      <c r="D3" s="0" t="n">
        <v>0.00024</v>
      </c>
      <c r="E3" s="0" t="n">
        <v>1.0003</v>
      </c>
      <c r="F3" s="0" t="n">
        <v>1.0023</v>
      </c>
      <c r="G3" s="0" t="n">
        <v>0</v>
      </c>
      <c r="H3" s="0" t="n">
        <v>1</v>
      </c>
      <c r="I3" s="0" t="n">
        <v>1</v>
      </c>
      <c r="J3" s="0" t="n">
        <v>0</v>
      </c>
    </row>
    <row r="4" customFormat="false" ht="15" hidden="false" customHeight="false" outlineLevel="0" collapsed="false">
      <c r="A4" s="0" t="s">
        <v>9</v>
      </c>
      <c r="B4" s="0" t="n">
        <v>315</v>
      </c>
      <c r="C4" s="0" t="n">
        <v>1.0014</v>
      </c>
      <c r="D4" s="0" t="n">
        <v>0.00018</v>
      </c>
      <c r="E4" s="0" t="n">
        <v>1.0004</v>
      </c>
      <c r="F4" s="0" t="n">
        <v>1.0026</v>
      </c>
      <c r="G4" s="0" t="n">
        <v>0</v>
      </c>
      <c r="H4" s="0" t="n">
        <v>4</v>
      </c>
      <c r="I4" s="0" t="n">
        <v>4</v>
      </c>
      <c r="J4" s="0" t="n">
        <v>0</v>
      </c>
    </row>
    <row r="5" customFormat="false" ht="15" hidden="false" customHeight="false" outlineLevel="0" collapsed="false">
      <c r="A5" s="0" t="s">
        <v>10</v>
      </c>
      <c r="B5" s="0" t="n">
        <v>71</v>
      </c>
      <c r="C5" s="0" t="n">
        <v>1.0015</v>
      </c>
      <c r="D5" s="0" t="n">
        <v>0.00024</v>
      </c>
      <c r="E5" s="0" t="n">
        <v>1.0004</v>
      </c>
      <c r="F5" s="0" t="n">
        <v>1.0025</v>
      </c>
      <c r="G5" s="0" t="n">
        <v>0</v>
      </c>
      <c r="H5" s="0" t="n">
        <v>2</v>
      </c>
      <c r="I5" s="0" t="n">
        <v>2</v>
      </c>
      <c r="J5" s="0" t="n">
        <v>0</v>
      </c>
    </row>
    <row r="6" customFormat="false" ht="15" hidden="false" customHeight="false" outlineLevel="0" collapsed="false">
      <c r="A6" s="0" t="s">
        <v>11</v>
      </c>
      <c r="B6" s="0" t="n">
        <v>126</v>
      </c>
      <c r="C6" s="0" t="n">
        <v>1.0014</v>
      </c>
      <c r="D6" s="0" t="n">
        <v>0.00021</v>
      </c>
      <c r="E6" s="0" t="n">
        <v>1.0004</v>
      </c>
      <c r="F6" s="0" t="n">
        <v>1.0024</v>
      </c>
      <c r="G6" s="0" t="n">
        <v>0</v>
      </c>
      <c r="H6" s="0" t="n">
        <v>3</v>
      </c>
      <c r="I6" s="0" t="n">
        <v>3</v>
      </c>
      <c r="J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2026-10-13T00:17:07Z</dcterms:created>
  <dc:creator>openpyxl</dc:creator>
  <dc:description/>
  <dc:language>en-US</dc:language>
  <cp:lastModifiedBy/>
  <dcterms:modified xsi:type="dcterms:W3CDTF">2026-10-13T00:17:07Z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