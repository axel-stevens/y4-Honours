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<sst xmlns="http://schemas.openxmlformats.org/spreadsheetml/2006/main" count="527" uniqueCount="29">
  <si>
    <t xml:space="preserve">file</t>
  </si>
  <si>
    <t xml:space="preserve">window</t>
  </si>
  <si>
    <t xml:space="preserve">runtime</t>
  </si>
  <si>
    <t xml:space="preserve">latitude</t>
  </si>
  <si>
    <t xml:space="preserve">longitude</t>
  </si>
  <si>
    <t xml:space="preserve">gps_fix</t>
  </si>
  <si>
    <t xml:space="preserve">satellites</t>
  </si>
  <si>
    <t xml:space="preserve">groundspeed</t>
  </si>
  <si>
    <t xml:space="preserve">yaw</t>
  </si>
  <si>
    <t xml:space="preserve">north_from_mean_m</t>
  </si>
  <si>
    <t xml:space="preserve">east_from_mean_m</t>
  </si>
  <si>
    <t xml:space="preserve">dist_from_mean_m</t>
  </si>
  <si>
    <t xml:space="preserve">flight_log_1.csv</t>
  </si>
  <si>
    <t xml:space="preserve">log1_A</t>
  </si>
  <si>
    <t xml:space="preserve">flight_log_2.csv</t>
  </si>
  <si>
    <t xml:space="preserve">log2_A</t>
  </si>
  <si>
    <t xml:space="preserve">flight_log_3.csv</t>
  </si>
  <si>
    <t xml:space="preserve">log3_A</t>
  </si>
  <si>
    <t xml:space="preserve">log3_B</t>
  </si>
  <si>
    <t xml:space="preserve">samples</t>
  </si>
  <si>
    <t xml:space="preserve">mean_latitude</t>
  </si>
  <si>
    <t xml:space="preserve">mean_longitude</t>
  </si>
  <si>
    <t xml:space="preserve">sd_north_m</t>
  </si>
  <si>
    <t xml:space="preserve">sd_east_m</t>
  </si>
  <si>
    <t xml:space="preserve">horizontal_sd_m</t>
  </si>
  <si>
    <t xml:space="preserve">max_dist_from_mean_m</t>
  </si>
  <si>
    <t xml:space="preserve">duration_s</t>
  </si>
  <si>
    <t xml:space="preserve">metres per degree latitude</t>
  </si>
  <si>
    <t xml:space="preserve">Note: sd values are population standard deviations of the distance from each window's mean position (east scaled by cos(latitude)). horizontal_sd = sqrt(sd_north^2 + sd_east^2).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</si>
</sst>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00"/>
    <numFmt numFmtId="166" formatCode="0.000"/>
    <numFmt numFmtId="167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2" min="1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1.68503396599999</v>
      </c>
      <c r="D2" s="2" t="n">
        <v>-34.9183842</v>
      </c>
      <c r="E2" s="2" t="n">
        <v>138.6055466</v>
      </c>
      <c r="F2" s="0" t="n">
        <v>3</v>
      </c>
      <c r="G2" s="0" t="n">
        <v>29</v>
      </c>
      <c r="H2" s="0" t="n">
        <v>0.014142135623731</v>
      </c>
      <c r="I2" s="0" t="n">
        <v>-2.45194315910339</v>
      </c>
      <c r="J2" s="3" t="n">
        <f aca="false">(D2-INDEX(Summary!$C:$C,MATCH(B2,Summary!$A:$A,0)))*Summary!$B$9</f>
        <v>-1.01324539745548</v>
      </c>
      <c r="K2" s="3" t="n">
        <f aca="false">(E2-INDEX(Summary!$D:$D,MATCH(B2,Summary!$A:$A,0)))*Summary!$B$9*COS(RADIANS(D2))</f>
        <v>0.52557556704112</v>
      </c>
      <c r="L2" s="3" t="n">
        <f aca="false">SQRT(J2^2+K2^2)</f>
        <v>1.14144466012825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n">
        <v>2.6870546749999</v>
      </c>
      <c r="D3" s="2" t="n">
        <v>-34.9183838</v>
      </c>
      <c r="E3" s="2" t="n">
        <v>138.6055464</v>
      </c>
      <c r="F3" s="0" t="n">
        <v>3</v>
      </c>
      <c r="G3" s="0" t="n">
        <v>30</v>
      </c>
      <c r="H3" s="0" t="n">
        <v>0.01</v>
      </c>
      <c r="I3" s="0" t="n">
        <v>-2.45236992835999</v>
      </c>
      <c r="J3" s="3" t="n">
        <f aca="false">(D3-INDEX(Summary!$C:$C,MATCH(B3,Summary!$A:$A,0)))*Summary!$B$9</f>
        <v>-0.968767397725792</v>
      </c>
      <c r="K3" s="3" t="n">
        <f aca="false">(E3-INDEX(Summary!$D:$D,MATCH(B3,Summary!$A:$A,0)))*Summary!$B$9*COS(RADIANS(D3))</f>
        <v>0.507340296636151</v>
      </c>
      <c r="L3" s="3" t="n">
        <f aca="false">SQRT(J3^2+K3^2)</f>
        <v>1.09357416185975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n">
        <v>3.68857794199994</v>
      </c>
      <c r="D4" s="2" t="n">
        <v>-34.9183837</v>
      </c>
      <c r="E4" s="2" t="n">
        <v>138.6055463</v>
      </c>
      <c r="F4" s="0" t="n">
        <v>3</v>
      </c>
      <c r="G4" s="0" t="n">
        <v>27</v>
      </c>
      <c r="H4" s="0" t="n">
        <v>0</v>
      </c>
      <c r="I4" s="0" t="n">
        <v>-2.45232582092285</v>
      </c>
      <c r="J4" s="3" t="n">
        <f aca="false">(D4-INDEX(Summary!$C:$C,MATCH(B4,Summary!$A:$A,0)))*Summary!$B$9</f>
        <v>-0.957647897595848</v>
      </c>
      <c r="K4" s="3" t="n">
        <f aca="false">(E4-INDEX(Summary!$D:$D,MATCH(B4,Summary!$A:$A,0)))*Summary!$B$9*COS(RADIANS(D4))</f>
        <v>0.498222658168595</v>
      </c>
      <c r="L4" s="3" t="n">
        <f aca="false">SQRT(J4^2+K4^2)</f>
        <v>1.07949771323627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n">
        <v>4.68970187699983</v>
      </c>
      <c r="D5" s="2" t="n">
        <v>-34.9183834</v>
      </c>
      <c r="E5" s="2" t="n">
        <v>138.6055462</v>
      </c>
      <c r="F5" s="0" t="n">
        <v>3</v>
      </c>
      <c r="G5" s="0" t="n">
        <v>30</v>
      </c>
      <c r="H5" s="0" t="n">
        <v>0</v>
      </c>
      <c r="I5" s="0" t="n">
        <v>-2.45234513282776</v>
      </c>
      <c r="J5" s="3" t="n">
        <f aca="false">(D5-INDEX(Summary!$C:$C,MATCH(B5,Summary!$A:$A,0)))*Summary!$B$9</f>
        <v>-0.924289397996105</v>
      </c>
      <c r="K5" s="3" t="n">
        <f aca="false">(E5-INDEX(Summary!$D:$D,MATCH(B5,Summary!$A:$A,0)))*Summary!$B$9*COS(RADIANS(D5))</f>
        <v>0.489105023462053</v>
      </c>
      <c r="L5" s="3" t="n">
        <f aca="false">SQRT(J5^2+K5^2)</f>
        <v>1.04572205447902</v>
      </c>
    </row>
    <row r="6" customFormat="false" ht="15" hidden="false" customHeight="false" outlineLevel="0" collapsed="false">
      <c r="A6" s="0" t="s">
        <v>12</v>
      </c>
      <c r="B6" s="0" t="s">
        <v>13</v>
      </c>
      <c r="C6" s="0" t="n">
        <v>5.69132797599991</v>
      </c>
      <c r="D6" s="2" t="n">
        <v>-34.9183832</v>
      </c>
      <c r="E6" s="2" t="n">
        <v>138.6055459</v>
      </c>
      <c r="F6" s="0" t="n">
        <v>3</v>
      </c>
      <c r="G6" s="0" t="n">
        <v>29</v>
      </c>
      <c r="H6" s="0" t="n">
        <v>0</v>
      </c>
      <c r="I6" s="0" t="n">
        <v>-2.45240664482117</v>
      </c>
      <c r="J6" s="3" t="n">
        <f aca="false">(D6-INDEX(Summary!$C:$C,MATCH(B6,Summary!$A:$A,0)))*Summary!$B$9</f>
        <v>-0.902050397736218</v>
      </c>
      <c r="K6" s="3" t="n">
        <f aca="false">(E6-INDEX(Summary!$D:$D,MATCH(B6,Summary!$A:$A,0)))*Summary!$B$9*COS(RADIANS(D6))</f>
        <v>0.461752115004344</v>
      </c>
      <c r="L6" s="3" t="n">
        <f aca="false">SQRT(J6^2+K6^2)</f>
        <v>1.01336564761544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n">
        <v>6.69282879899993</v>
      </c>
      <c r="D7" s="2" t="n">
        <v>-34.9183833</v>
      </c>
      <c r="E7" s="2" t="n">
        <v>138.6055459</v>
      </c>
      <c r="F7" s="0" t="n">
        <v>3</v>
      </c>
      <c r="G7" s="0" t="n">
        <v>28</v>
      </c>
      <c r="H7" s="0" t="n">
        <v>0</v>
      </c>
      <c r="I7" s="0" t="n">
        <v>-2.45242190361023</v>
      </c>
      <c r="J7" s="3" t="n">
        <f aca="false">(D7-INDEX(Summary!$C:$C,MATCH(B7,Summary!$A:$A,0)))*Summary!$B$9</f>
        <v>-0.913169897866162</v>
      </c>
      <c r="K7" s="3" t="n">
        <f aca="false">(E7-INDEX(Summary!$D:$D,MATCH(B7,Summary!$A:$A,0)))*Summary!$B$9*COS(RADIANS(D7))</f>
        <v>0.461752114441749</v>
      </c>
      <c r="L7" s="3" t="n">
        <f aca="false">SQRT(J7^2+K7^2)</f>
        <v>1.02327624694426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n">
        <v>7.69424554699981</v>
      </c>
      <c r="D8" s="2" t="n">
        <v>-34.9183833</v>
      </c>
      <c r="E8" s="2" t="n">
        <v>138.6055459</v>
      </c>
      <c r="F8" s="0" t="n">
        <v>3</v>
      </c>
      <c r="G8" s="0" t="n">
        <v>29</v>
      </c>
      <c r="H8" s="0" t="n">
        <v>0.0223606797749979</v>
      </c>
      <c r="I8" s="0" t="n">
        <v>-2.45251750946045</v>
      </c>
      <c r="J8" s="3" t="n">
        <f aca="false">(D8-INDEX(Summary!$C:$C,MATCH(B8,Summary!$A:$A,0)))*Summary!$B$9</f>
        <v>-0.913169897866162</v>
      </c>
      <c r="K8" s="3" t="n">
        <f aca="false">(E8-INDEX(Summary!$D:$D,MATCH(B8,Summary!$A:$A,0)))*Summary!$B$9*COS(RADIANS(D8))</f>
        <v>0.461752114441749</v>
      </c>
      <c r="L8" s="3" t="n">
        <f aca="false">SQRT(J8^2+K8^2)</f>
        <v>1.02327624694426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n">
        <v>8.69563251799991</v>
      </c>
      <c r="D9" s="2" t="n">
        <v>-34.9183833</v>
      </c>
      <c r="E9" s="2" t="n">
        <v>138.6055458</v>
      </c>
      <c r="F9" s="0" t="n">
        <v>3</v>
      </c>
      <c r="G9" s="0" t="n">
        <v>28</v>
      </c>
      <c r="H9" s="0" t="n">
        <v>0.014142135623731</v>
      </c>
      <c r="I9" s="0" t="n">
        <v>-2.45260524749756</v>
      </c>
      <c r="J9" s="3" t="n">
        <f aca="false">(D9-INDEX(Summary!$C:$C,MATCH(B9,Summary!$A:$A,0)))*Summary!$B$9</f>
        <v>-0.913169897866162</v>
      </c>
      <c r="K9" s="3" t="n">
        <f aca="false">(E9-INDEX(Summary!$D:$D,MATCH(B9,Summary!$A:$A,0)))*Summary!$B$9*COS(RADIANS(D9))</f>
        <v>0.452634475311619</v>
      </c>
      <c r="L9" s="3" t="n">
        <f aca="false">SQRT(J9^2+K9^2)</f>
        <v>1.01919440275618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0" t="n">
        <v>9.69704306299991</v>
      </c>
      <c r="D10" s="2" t="n">
        <v>-34.918383</v>
      </c>
      <c r="E10" s="2" t="n">
        <v>138.6055455</v>
      </c>
      <c r="F10" s="0" t="n">
        <v>3</v>
      </c>
      <c r="G10" s="0" t="n">
        <v>30</v>
      </c>
      <c r="H10" s="0" t="n">
        <v>0</v>
      </c>
      <c r="I10" s="0" t="n">
        <v>-2.45262336730957</v>
      </c>
      <c r="J10" s="3" t="n">
        <f aca="false">(D10-INDEX(Summary!$C:$C,MATCH(B10,Summary!$A:$A,0)))*Summary!$B$9</f>
        <v>-0.879811397476331</v>
      </c>
      <c r="K10" s="3" t="n">
        <f aca="false">(E10-INDEX(Summary!$D:$D,MATCH(B10,Summary!$A:$A,0)))*Summary!$B$9*COS(RADIANS(D10))</f>
        <v>0.425281567249871</v>
      </c>
      <c r="L10" s="3" t="n">
        <f aca="false">SQRT(J10^2+K10^2)</f>
        <v>0.977206481032418</v>
      </c>
    </row>
    <row r="11" customFormat="false" ht="15" hidden="false" customHeight="false" outlineLevel="0" collapsed="false">
      <c r="A11" s="0" t="s">
        <v>12</v>
      </c>
      <c r="B11" s="0" t="s">
        <v>13</v>
      </c>
      <c r="C11" s="0" t="n">
        <v>10.6984822929999</v>
      </c>
      <c r="D11" s="2" t="n">
        <v>-34.9183828</v>
      </c>
      <c r="E11" s="2" t="n">
        <v>138.6055452</v>
      </c>
      <c r="F11" s="0" t="n">
        <v>3</v>
      </c>
      <c r="G11" s="0" t="n">
        <v>29</v>
      </c>
      <c r="H11" s="0" t="n">
        <v>0</v>
      </c>
      <c r="I11" s="0" t="n">
        <v>-2.45263123512268</v>
      </c>
      <c r="J11" s="3" t="n">
        <f aca="false">(D11-INDEX(Summary!$C:$C,MATCH(B11,Summary!$A:$A,0)))*Summary!$B$9</f>
        <v>-0.857572398006532</v>
      </c>
      <c r="K11" s="3" t="n">
        <f aca="false">(E11-INDEX(Summary!$D:$D,MATCH(B11,Summary!$A:$A,0)))*Summary!$B$9*COS(RADIANS(D11))</f>
        <v>0.397928655911944</v>
      </c>
      <c r="L11" s="3" t="n">
        <f aca="false">SQRT(J11^2+K11^2)</f>
        <v>0.945398134659975</v>
      </c>
    </row>
    <row r="12" customFormat="false" ht="15" hidden="false" customHeight="false" outlineLevel="0" collapsed="false">
      <c r="A12" s="0" t="s">
        <v>12</v>
      </c>
      <c r="B12" s="0" t="s">
        <v>13</v>
      </c>
      <c r="C12" s="0" t="n">
        <v>11.6997663749999</v>
      </c>
      <c r="D12" s="2" t="n">
        <v>-34.9183825</v>
      </c>
      <c r="E12" s="2" t="n">
        <v>138.6055449</v>
      </c>
      <c r="F12" s="0" t="n">
        <v>3</v>
      </c>
      <c r="G12" s="0" t="n">
        <v>30</v>
      </c>
      <c r="H12" s="0" t="n">
        <v>0.01</v>
      </c>
      <c r="I12" s="0" t="n">
        <v>-2.45275545120239</v>
      </c>
      <c r="J12" s="3" t="n">
        <f aca="false">(D12-INDEX(Summary!$C:$C,MATCH(B12,Summary!$A:$A,0)))*Summary!$B$9</f>
        <v>-0.824213897616701</v>
      </c>
      <c r="K12" s="3" t="n">
        <f aca="false">(E12-INDEX(Summary!$D:$D,MATCH(B12,Summary!$A:$A,0)))*Summary!$B$9*COS(RADIANS(D12))</f>
        <v>0.370575747483604</v>
      </c>
      <c r="L12" s="3" t="n">
        <f aca="false">SQRT(J12^2+K12^2)</f>
        <v>0.903689622407797</v>
      </c>
    </row>
    <row r="13" customFormat="false" ht="15" hidden="false" customHeight="false" outlineLevel="0" collapsed="false">
      <c r="A13" s="0" t="s">
        <v>12</v>
      </c>
      <c r="B13" s="0" t="s">
        <v>13</v>
      </c>
      <c r="C13" s="0" t="n">
        <v>12.7010189199998</v>
      </c>
      <c r="D13" s="2" t="n">
        <v>-34.9183822</v>
      </c>
      <c r="E13" s="2" t="n">
        <v>138.6055447</v>
      </c>
      <c r="F13" s="0" t="n">
        <v>3</v>
      </c>
      <c r="G13" s="0" t="n">
        <v>29</v>
      </c>
      <c r="H13" s="0" t="n">
        <v>0</v>
      </c>
      <c r="I13" s="0" t="n">
        <v>-2.45283627510071</v>
      </c>
      <c r="J13" s="3" t="n">
        <f aca="false">(D13-INDEX(Summary!$C:$C,MATCH(B13,Summary!$A:$A,0)))*Summary!$B$9</f>
        <v>-0.790855398016959</v>
      </c>
      <c r="K13" s="3" t="n">
        <f aca="false">(E13-INDEX(Summary!$D:$D,MATCH(B13,Summary!$A:$A,0)))*Summary!$B$9*COS(RADIANS(D13))</f>
        <v>0.352340472924856</v>
      </c>
      <c r="L13" s="3" t="n">
        <f aca="false">SQRT(J13^2+K13^2)</f>
        <v>0.865792162954524</v>
      </c>
    </row>
    <row r="14" customFormat="false" ht="15" hidden="false" customHeight="false" outlineLevel="0" collapsed="false">
      <c r="A14" s="0" t="s">
        <v>12</v>
      </c>
      <c r="B14" s="0" t="s">
        <v>13</v>
      </c>
      <c r="C14" s="0" t="n">
        <v>13.7022377799999</v>
      </c>
      <c r="D14" s="2" t="n">
        <v>-34.9183821</v>
      </c>
      <c r="E14" s="2" t="n">
        <v>138.6055447</v>
      </c>
      <c r="F14" s="0" t="n">
        <v>3</v>
      </c>
      <c r="G14" s="0" t="n">
        <v>28</v>
      </c>
      <c r="H14" s="0" t="n">
        <v>0</v>
      </c>
      <c r="I14" s="0" t="n">
        <v>-2.45282506942749</v>
      </c>
      <c r="J14" s="3" t="n">
        <f aca="false">(D14-INDEX(Summary!$C:$C,MATCH(B14,Summary!$A:$A,0)))*Summary!$B$9</f>
        <v>-0.779735897887015</v>
      </c>
      <c r="K14" s="3" t="n">
        <f aca="false">(E14-INDEX(Summary!$D:$D,MATCH(B14,Summary!$A:$A,0)))*Summary!$B$9*COS(RADIANS(D14))</f>
        <v>0.352340473354145</v>
      </c>
      <c r="L14" s="3" t="n">
        <f aca="false">SQRT(J14^2+K14^2)</f>
        <v>0.855647053180862</v>
      </c>
    </row>
    <row r="15" customFormat="false" ht="15" hidden="false" customHeight="false" outlineLevel="0" collapsed="false">
      <c r="A15" s="0" t="s">
        <v>12</v>
      </c>
      <c r="B15" s="0" t="s">
        <v>13</v>
      </c>
      <c r="C15" s="0" t="n">
        <v>14.7035351579998</v>
      </c>
      <c r="D15" s="2" t="n">
        <v>-34.9183818</v>
      </c>
      <c r="E15" s="2" t="n">
        <v>138.6055447</v>
      </c>
      <c r="F15" s="0" t="n">
        <v>4</v>
      </c>
      <c r="G15" s="0" t="n">
        <v>29</v>
      </c>
      <c r="H15" s="0" t="n">
        <v>0</v>
      </c>
      <c r="I15" s="0" t="n">
        <v>-2.45284175872803</v>
      </c>
      <c r="J15" s="3" t="n">
        <f aca="false">(D15-INDEX(Summary!$C:$C,MATCH(B15,Summary!$A:$A,0)))*Summary!$B$9</f>
        <v>-0.746377397497184</v>
      </c>
      <c r="K15" s="3" t="n">
        <f aca="false">(E15-INDEX(Summary!$D:$D,MATCH(B15,Summary!$A:$A,0)))*Summary!$B$9*COS(RADIANS(D15))</f>
        <v>0.35234047464201</v>
      </c>
      <c r="L15" s="3" t="n">
        <f aca="false">SQRT(J15^2+K15^2)</f>
        <v>0.825362362581204</v>
      </c>
    </row>
    <row r="16" customFormat="false" ht="15" hidden="false" customHeight="false" outlineLevel="0" collapsed="false">
      <c r="A16" s="0" t="s">
        <v>12</v>
      </c>
      <c r="B16" s="0" t="s">
        <v>13</v>
      </c>
      <c r="C16" s="0" t="n">
        <v>15.704773315</v>
      </c>
      <c r="D16" s="2" t="n">
        <v>-34.9183815</v>
      </c>
      <c r="E16" s="2" t="n">
        <v>138.6055445</v>
      </c>
      <c r="F16" s="0" t="n">
        <v>4</v>
      </c>
      <c r="G16" s="0" t="n">
        <v>30</v>
      </c>
      <c r="H16" s="0" t="n">
        <v>0</v>
      </c>
      <c r="I16" s="0" t="n">
        <v>-2.45284509658814</v>
      </c>
      <c r="J16" s="3" t="n">
        <f aca="false">(D16-INDEX(Summary!$C:$C,MATCH(B16,Summary!$A:$A,0)))*Summary!$B$9</f>
        <v>-0.713018897897442</v>
      </c>
      <c r="K16" s="3" t="n">
        <f aca="false">(E16-INDEX(Summary!$D:$D,MATCH(B16,Summary!$A:$A,0)))*Summary!$B$9*COS(RADIANS(D16))</f>
        <v>0.334105202452474</v>
      </c>
      <c r="L16" s="3" t="n">
        <f aca="false">SQRT(J16^2+K16^2)</f>
        <v>0.787414906554791</v>
      </c>
    </row>
    <row r="17" customFormat="false" ht="15" hidden="false" customHeight="false" outlineLevel="0" collapsed="false">
      <c r="A17" s="0" t="s">
        <v>12</v>
      </c>
      <c r="B17" s="0" t="s">
        <v>13</v>
      </c>
      <c r="C17" s="0" t="n">
        <v>16.7062485069998</v>
      </c>
      <c r="D17" s="2" t="n">
        <v>-34.9183812</v>
      </c>
      <c r="E17" s="2" t="n">
        <v>138.6055445</v>
      </c>
      <c r="F17" s="0" t="n">
        <v>4</v>
      </c>
      <c r="G17" s="0" t="n">
        <v>30</v>
      </c>
      <c r="H17" s="0" t="n">
        <v>0</v>
      </c>
      <c r="I17" s="0" t="n">
        <v>-2.45283269882202</v>
      </c>
      <c r="J17" s="3" t="n">
        <f aca="false">(D17-INDEX(Summary!$C:$C,MATCH(B17,Summary!$A:$A,0)))*Summary!$B$9</f>
        <v>-0.679660397507611</v>
      </c>
      <c r="K17" s="3" t="n">
        <f aca="false">(E17-INDEX(Summary!$D:$D,MATCH(B17,Summary!$A:$A,0)))*Summary!$B$9*COS(RADIANS(D17))</f>
        <v>0.334105203673686</v>
      </c>
      <c r="L17" s="3" t="n">
        <f aca="false">SQRT(J17^2+K17^2)</f>
        <v>0.757340440661952</v>
      </c>
    </row>
    <row r="18" customFormat="false" ht="15" hidden="false" customHeight="false" outlineLevel="0" collapsed="false">
      <c r="A18" s="0" t="s">
        <v>12</v>
      </c>
      <c r="B18" s="0" t="s">
        <v>13</v>
      </c>
      <c r="C18" s="0" t="n">
        <v>17.7076407559998</v>
      </c>
      <c r="D18" s="2" t="n">
        <v>-34.9183809</v>
      </c>
      <c r="E18" s="2" t="n">
        <v>138.6055444</v>
      </c>
      <c r="F18" s="0" t="n">
        <v>4</v>
      </c>
      <c r="G18" s="0" t="n">
        <v>29</v>
      </c>
      <c r="H18" s="0" t="n">
        <v>0</v>
      </c>
      <c r="I18" s="0" t="n">
        <v>-2.4529013633728</v>
      </c>
      <c r="J18" s="3" t="n">
        <f aca="false">(D18-INDEX(Summary!$C:$C,MATCH(B18,Summary!$A:$A,0)))*Summary!$B$9</f>
        <v>-0.646301897907868</v>
      </c>
      <c r="K18" s="3" t="n">
        <f aca="false">(E18-INDEX(Summary!$D:$D,MATCH(B18,Summary!$A:$A,0)))*Summary!$B$9*COS(RADIANS(D18))</f>
        <v>0.324987568089545</v>
      </c>
      <c r="L18" s="3" t="n">
        <f aca="false">SQRT(J18^2+K18^2)</f>
        <v>0.723410715052016</v>
      </c>
    </row>
    <row r="19" customFormat="false" ht="15" hidden="false" customHeight="false" outlineLevel="0" collapsed="false">
      <c r="A19" s="0" t="s">
        <v>12</v>
      </c>
      <c r="B19" s="0" t="s">
        <v>13</v>
      </c>
      <c r="C19" s="0" t="n">
        <v>18.709084227</v>
      </c>
      <c r="D19" s="2" t="n">
        <v>-34.9183805</v>
      </c>
      <c r="E19" s="2" t="n">
        <v>138.6055442</v>
      </c>
      <c r="F19" s="0" t="n">
        <v>4</v>
      </c>
      <c r="G19" s="0" t="n">
        <v>32</v>
      </c>
      <c r="H19" s="0" t="n">
        <v>0</v>
      </c>
      <c r="I19" s="0" t="n">
        <v>-2.45265913009644</v>
      </c>
      <c r="J19" s="3" t="n">
        <f aca="false">(D19-INDEX(Summary!$C:$C,MATCH(B19,Summary!$A:$A,0)))*Summary!$B$9</f>
        <v>-0.601823897388094</v>
      </c>
      <c r="K19" s="3" t="n">
        <f aca="false">(E19-INDEX(Summary!$D:$D,MATCH(B19,Summary!$A:$A,0)))*Summary!$B$9*COS(RADIANS(D19))</f>
        <v>0.306752293382425</v>
      </c>
      <c r="L19" s="3" t="n">
        <f aca="false">SQRT(J19^2+K19^2)</f>
        <v>0.675491652770612</v>
      </c>
    </row>
    <row r="20" customFormat="false" ht="15" hidden="false" customHeight="false" outlineLevel="0" collapsed="false">
      <c r="A20" s="0" t="s">
        <v>12</v>
      </c>
      <c r="B20" s="0" t="s">
        <v>13</v>
      </c>
      <c r="C20" s="0" t="n">
        <v>19.7106093079999</v>
      </c>
      <c r="D20" s="2" t="n">
        <v>-34.9183797</v>
      </c>
      <c r="E20" s="2" t="n">
        <v>138.6055438</v>
      </c>
      <c r="F20" s="0" t="n">
        <v>4</v>
      </c>
      <c r="G20" s="0" t="n">
        <v>32</v>
      </c>
      <c r="H20" s="0" t="n">
        <v>0</v>
      </c>
      <c r="I20" s="0" t="n">
        <v>-2.45303559303284</v>
      </c>
      <c r="J20" s="3" t="n">
        <f aca="false">(D20-INDEX(Summary!$C:$C,MATCH(B20,Summary!$A:$A,0)))*Summary!$B$9</f>
        <v>-0.512867897928722</v>
      </c>
      <c r="K20" s="3" t="n">
        <f aca="false">(E20-INDEX(Summary!$D:$D,MATCH(B20,Summary!$A:$A,0)))*Summary!$B$9*COS(RADIANS(D20))</f>
        <v>0.270281746026349</v>
      </c>
      <c r="L20" s="3" t="n">
        <f aca="false">SQRT(J20^2+K20^2)</f>
        <v>0.579728990961188</v>
      </c>
    </row>
    <row r="21" customFormat="false" ht="15" hidden="false" customHeight="false" outlineLevel="0" collapsed="false">
      <c r="A21" s="0" t="s">
        <v>12</v>
      </c>
      <c r="B21" s="0" t="s">
        <v>13</v>
      </c>
      <c r="C21" s="0" t="n">
        <v>20.7122301669999</v>
      </c>
      <c r="D21" s="2" t="n">
        <v>-34.9183788</v>
      </c>
      <c r="E21" s="2" t="n">
        <v>138.6055432</v>
      </c>
      <c r="F21" s="0" t="n">
        <v>4</v>
      </c>
      <c r="G21" s="0" t="n">
        <v>30</v>
      </c>
      <c r="H21" s="0" t="n">
        <v>0.01</v>
      </c>
      <c r="I21" s="0" t="n">
        <v>-2.45308351516724</v>
      </c>
      <c r="J21" s="3" t="n">
        <f aca="false">(D21-INDEX(Summary!$C:$C,MATCH(B21,Summary!$A:$A,0)))*Summary!$B$9</f>
        <v>-0.412792397549318</v>
      </c>
      <c r="K21" s="3" t="n">
        <f aca="false">(E21-INDEX(Summary!$D:$D,MATCH(B21,Summary!$A:$A,0)))*Summary!$B$9*COS(RADIANS(D21))</f>
        <v>0.215575924166901</v>
      </c>
      <c r="L21" s="3" t="n">
        <f aca="false">SQRT(J21^2+K21^2)</f>
        <v>0.465693614466558</v>
      </c>
    </row>
    <row r="22" customFormat="false" ht="15" hidden="false" customHeight="false" outlineLevel="0" collapsed="false">
      <c r="A22" s="0" t="s">
        <v>12</v>
      </c>
      <c r="B22" s="0" t="s">
        <v>13</v>
      </c>
      <c r="C22" s="0" t="n">
        <v>21.713555008</v>
      </c>
      <c r="D22" s="2" t="n">
        <v>-34.9183783</v>
      </c>
      <c r="E22" s="2" t="n">
        <v>138.6055431</v>
      </c>
      <c r="F22" s="0" t="n">
        <v>4</v>
      </c>
      <c r="G22" s="0" t="n">
        <v>29</v>
      </c>
      <c r="H22" s="0" t="n">
        <v>0.02</v>
      </c>
      <c r="I22" s="0" t="n">
        <v>-2.45274806022644</v>
      </c>
      <c r="J22" s="3" t="n">
        <f aca="false">(D22-INDEX(Summary!$C:$C,MATCH(B22,Summary!$A:$A,0)))*Summary!$B$9</f>
        <v>-0.357194897689688</v>
      </c>
      <c r="K22" s="3" t="n">
        <f aca="false">(E22-INDEX(Summary!$D:$D,MATCH(B22,Summary!$A:$A,0)))*Summary!$B$9*COS(RADIANS(D22))</f>
        <v>0.206458288385996</v>
      </c>
      <c r="L22" s="3" t="n">
        <f aca="false">SQRT(J22^2+K22^2)</f>
        <v>0.412569048498335</v>
      </c>
    </row>
    <row r="23" customFormat="false" ht="15" hidden="false" customHeight="false" outlineLevel="0" collapsed="false">
      <c r="A23" s="0" t="s">
        <v>12</v>
      </c>
      <c r="B23" s="0" t="s">
        <v>13</v>
      </c>
      <c r="C23" s="0" t="n">
        <v>22.7148622759999</v>
      </c>
      <c r="D23" s="2" t="n">
        <v>-34.9183779</v>
      </c>
      <c r="E23" s="2" t="n">
        <v>138.6055431</v>
      </c>
      <c r="F23" s="0" t="n">
        <v>4</v>
      </c>
      <c r="G23" s="0" t="n">
        <v>30</v>
      </c>
      <c r="H23" s="0" t="n">
        <v>0.02</v>
      </c>
      <c r="I23" s="0" t="n">
        <v>-2.4526309967041</v>
      </c>
      <c r="J23" s="3" t="n">
        <f aca="false">(D23-INDEX(Summary!$C:$C,MATCH(B23,Summary!$A:$A,0)))*Summary!$B$9</f>
        <v>-0.312716897960001</v>
      </c>
      <c r="K23" s="3" t="n">
        <f aca="false">(E23-INDEX(Summary!$D:$D,MATCH(B23,Summary!$A:$A,0)))*Summary!$B$9*COS(RADIANS(D23))</f>
        <v>0.206458289392184</v>
      </c>
      <c r="L23" s="3" t="n">
        <f aca="false">SQRT(J23^2+K23^2)</f>
        <v>0.374722408628671</v>
      </c>
    </row>
    <row r="24" customFormat="false" ht="15" hidden="false" customHeight="false" outlineLevel="0" collapsed="false">
      <c r="A24" s="0" t="s">
        <v>12</v>
      </c>
      <c r="B24" s="0" t="s">
        <v>13</v>
      </c>
      <c r="C24" s="0" t="n">
        <v>23.7161155429999</v>
      </c>
      <c r="D24" s="2" t="n">
        <v>-34.9183777</v>
      </c>
      <c r="E24" s="2" t="n">
        <v>138.605543</v>
      </c>
      <c r="F24" s="0" t="n">
        <v>4</v>
      </c>
      <c r="G24" s="0" t="n">
        <v>29</v>
      </c>
      <c r="H24" s="0" t="n">
        <v>0.01</v>
      </c>
      <c r="I24" s="0" t="n">
        <v>-2.45263719558716</v>
      </c>
      <c r="J24" s="3" t="n">
        <f aca="false">(D24-INDEX(Summary!$C:$C,MATCH(B24,Summary!$A:$A,0)))*Summary!$B$9</f>
        <v>-0.290477897700114</v>
      </c>
      <c r="K24" s="3" t="n">
        <f aca="false">(E24-INDEX(Summary!$D:$D,MATCH(B24,Summary!$A:$A,0)))*Summary!$B$9*COS(RADIANS(D24))</f>
        <v>0.19734065273444</v>
      </c>
      <c r="L24" s="3" t="n">
        <f aca="false">SQRT(J24^2+K24^2)</f>
        <v>0.35117053161382</v>
      </c>
    </row>
    <row r="25" customFormat="false" ht="15" hidden="false" customHeight="false" outlineLevel="0" collapsed="false">
      <c r="A25" s="0" t="s">
        <v>12</v>
      </c>
      <c r="B25" s="0" t="s">
        <v>13</v>
      </c>
      <c r="C25" s="0" t="n">
        <v>24.7174115509999</v>
      </c>
      <c r="D25" s="2" t="n">
        <v>-34.9183775</v>
      </c>
      <c r="E25" s="2" t="n">
        <v>138.6055431</v>
      </c>
      <c r="F25" s="0" t="n">
        <v>4</v>
      </c>
      <c r="G25" s="0" t="n">
        <v>30</v>
      </c>
      <c r="H25" s="0" t="n">
        <v>0</v>
      </c>
      <c r="I25" s="0" t="n">
        <v>-2.45269632339478</v>
      </c>
      <c r="J25" s="3" t="n">
        <f aca="false">(D25-INDEX(Summary!$C:$C,MATCH(B25,Summary!$A:$A,0)))*Summary!$B$9</f>
        <v>-0.268238897440227</v>
      </c>
      <c r="K25" s="3" t="n">
        <f aca="false">(E25-INDEX(Summary!$D:$D,MATCH(B25,Summary!$A:$A,0)))*Summary!$B$9*COS(RADIANS(D25))</f>
        <v>0.206458290398371</v>
      </c>
      <c r="L25" s="3" t="n">
        <f aca="false">SQRT(J25^2+K25^2)</f>
        <v>0.338492439759246</v>
      </c>
    </row>
    <row r="26" customFormat="false" ht="15" hidden="false" customHeight="false" outlineLevel="0" collapsed="false">
      <c r="A26" s="0" t="s">
        <v>12</v>
      </c>
      <c r="B26" s="0" t="s">
        <v>13</v>
      </c>
      <c r="C26" s="0" t="n">
        <v>25.7188361699998</v>
      </c>
      <c r="D26" s="2" t="n">
        <v>-34.9183771</v>
      </c>
      <c r="E26" s="2" t="n">
        <v>138.6055429</v>
      </c>
      <c r="F26" s="0" t="n">
        <v>4</v>
      </c>
      <c r="G26" s="0" t="n">
        <v>31</v>
      </c>
      <c r="H26" s="0" t="n">
        <v>0.01</v>
      </c>
      <c r="I26" s="0" t="n">
        <v>-2.45266056060791</v>
      </c>
      <c r="J26" s="3" t="n">
        <f aca="false">(D26-INDEX(Summary!$C:$C,MATCH(B26,Summary!$A:$A,0)))*Summary!$B$9</f>
        <v>-0.223760897710541</v>
      </c>
      <c r="K26" s="3" t="n">
        <f aca="false">(E26-INDEX(Summary!$D:$D,MATCH(B26,Summary!$A:$A,0)))*Summary!$B$9*COS(RADIANS(D26))</f>
        <v>0.18822301435819</v>
      </c>
      <c r="L26" s="3" t="n">
        <f aca="false">SQRT(J26^2+K26^2)</f>
        <v>0.292398431046253</v>
      </c>
    </row>
    <row r="27" customFormat="false" ht="15" hidden="false" customHeight="false" outlineLevel="0" collapsed="false">
      <c r="A27" s="0" t="s">
        <v>12</v>
      </c>
      <c r="B27" s="0" t="s">
        <v>13</v>
      </c>
      <c r="C27" s="0" t="n">
        <v>26.7202063259999</v>
      </c>
      <c r="D27" s="2" t="n">
        <v>-34.9183758</v>
      </c>
      <c r="E27" s="2" t="n">
        <v>138.605542</v>
      </c>
      <c r="F27" s="0" t="n">
        <v>4</v>
      </c>
      <c r="G27" s="0" t="n">
        <v>31</v>
      </c>
      <c r="H27" s="0" t="n">
        <v>0</v>
      </c>
      <c r="I27" s="0" t="n">
        <v>-2.45256447792053</v>
      </c>
      <c r="J27" s="3" t="n">
        <f aca="false">(D27-INDEX(Summary!$C:$C,MATCH(B27,Summary!$A:$A,0)))*Summary!$B$9</f>
        <v>-0.0792073976014507</v>
      </c>
      <c r="K27" s="3" t="n">
        <f aca="false">(E27-INDEX(Summary!$D:$D,MATCH(B27,Summary!$A:$A,0)))*Summary!$B$9*COS(RADIANS(D27))</f>
        <v>0.106164278400933</v>
      </c>
      <c r="L27" s="3" t="n">
        <f aca="false">SQRT(J27^2+K27^2)</f>
        <v>0.132456278987389</v>
      </c>
    </row>
    <row r="28" customFormat="false" ht="15" hidden="false" customHeight="false" outlineLevel="0" collapsed="false">
      <c r="A28" s="0" t="s">
        <v>12</v>
      </c>
      <c r="B28" s="0" t="s">
        <v>13</v>
      </c>
      <c r="C28" s="0" t="n">
        <v>27.7216926849999</v>
      </c>
      <c r="D28" s="2" t="n">
        <v>-34.9183751</v>
      </c>
      <c r="E28" s="2" t="n">
        <v>138.6055415</v>
      </c>
      <c r="F28" s="0" t="n">
        <v>4</v>
      </c>
      <c r="G28" s="0" t="n">
        <v>31</v>
      </c>
      <c r="H28" s="0" t="n">
        <v>0.01</v>
      </c>
      <c r="I28" s="0" t="n">
        <v>-2.45249581336975</v>
      </c>
      <c r="J28" s="3" t="n">
        <f aca="false">(D28-INDEX(Summary!$C:$C,MATCH(B28,Summary!$A:$A,0)))*Summary!$B$9</f>
        <v>-0.00137089748193375</v>
      </c>
      <c r="K28" s="3" t="n">
        <f aca="false">(E28-INDEX(Summary!$D:$D,MATCH(B28,Summary!$A:$A,0)))*Summary!$B$9*COS(RADIANS(D28))</f>
        <v>0.0605760868752663</v>
      </c>
      <c r="L28" s="3" t="n">
        <f aca="false">SQRT(J28^2+K28^2)</f>
        <v>0.0605915972806939</v>
      </c>
    </row>
    <row r="29" customFormat="false" ht="15" hidden="false" customHeight="false" outlineLevel="0" collapsed="false">
      <c r="A29" s="0" t="s">
        <v>12</v>
      </c>
      <c r="B29" s="0" t="s">
        <v>13</v>
      </c>
      <c r="C29" s="0" t="n">
        <v>28.7230969889999</v>
      </c>
      <c r="D29" s="2" t="n">
        <v>-34.9183749</v>
      </c>
      <c r="E29" s="2" t="n">
        <v>138.6055414</v>
      </c>
      <c r="F29" s="0" t="n">
        <v>4</v>
      </c>
      <c r="G29" s="0" t="n">
        <v>31</v>
      </c>
      <c r="H29" s="0" t="n">
        <v>0.014142135623731</v>
      </c>
      <c r="I29" s="0" t="n">
        <v>-2.45238423347473</v>
      </c>
      <c r="J29" s="3" t="n">
        <f aca="false">(D29-INDEX(Summary!$C:$C,MATCH(B29,Summary!$A:$A,0)))*Summary!$B$9</f>
        <v>0.0208681019878654</v>
      </c>
      <c r="K29" s="3" t="n">
        <f aca="false">(E29-INDEX(Summary!$D:$D,MATCH(B29,Summary!$A:$A,0)))*Summary!$B$9*COS(RADIANS(D29))</f>
        <v>0.0514584495509921</v>
      </c>
      <c r="L29" s="3" t="n">
        <f aca="false">SQRT(J29^2+K29^2)</f>
        <v>0.055528818740974</v>
      </c>
    </row>
    <row r="30" customFormat="false" ht="15" hidden="false" customHeight="false" outlineLevel="0" collapsed="false">
      <c r="A30" s="0" t="s">
        <v>12</v>
      </c>
      <c r="B30" s="0" t="s">
        <v>13</v>
      </c>
      <c r="C30" s="0" t="n">
        <v>29.7244829419999</v>
      </c>
      <c r="D30" s="2" t="n">
        <v>-34.9183747</v>
      </c>
      <c r="E30" s="2" t="n">
        <v>138.6055414</v>
      </c>
      <c r="F30" s="0" t="n">
        <v>4</v>
      </c>
      <c r="G30" s="0" t="n">
        <v>30</v>
      </c>
      <c r="H30" s="0" t="n">
        <v>0.014142135623731</v>
      </c>
      <c r="I30" s="0" t="n">
        <v>-2.45245862007141</v>
      </c>
      <c r="J30" s="3" t="n">
        <f aca="false">(D30-INDEX(Summary!$C:$C,MATCH(B30,Summary!$A:$A,0)))*Summary!$B$9</f>
        <v>0.0431071022477525</v>
      </c>
      <c r="K30" s="3" t="n">
        <f aca="false">(E30-INDEX(Summary!$D:$D,MATCH(B30,Summary!$A:$A,0)))*Summary!$B$9*COS(RADIANS(D30))</f>
        <v>0.0514584496763851</v>
      </c>
      <c r="L30" s="3" t="n">
        <f aca="false">SQRT(J30^2+K30^2)</f>
        <v>0.0671281930882639</v>
      </c>
    </row>
    <row r="31" customFormat="false" ht="15" hidden="false" customHeight="false" outlineLevel="0" collapsed="false">
      <c r="A31" s="0" t="s">
        <v>12</v>
      </c>
      <c r="B31" s="0" t="s">
        <v>13</v>
      </c>
      <c r="C31" s="0" t="n">
        <v>30.7258878749999</v>
      </c>
      <c r="D31" s="2" t="n">
        <v>-34.9183744</v>
      </c>
      <c r="E31" s="2" t="n">
        <v>138.6055413</v>
      </c>
      <c r="F31" s="0" t="n">
        <v>4</v>
      </c>
      <c r="G31" s="0" t="n">
        <v>30</v>
      </c>
      <c r="H31" s="0" t="n">
        <v>0</v>
      </c>
      <c r="I31" s="0" t="n">
        <v>-2.45220541954041</v>
      </c>
      <c r="J31" s="3" t="n">
        <f aca="false">(D31-INDEX(Summary!$C:$C,MATCH(B31,Summary!$A:$A,0)))*Summary!$B$9</f>
        <v>0.0764656026375832</v>
      </c>
      <c r="K31" s="3" t="n">
        <f aca="false">(E31-INDEX(Summary!$D:$D,MATCH(B31,Summary!$A:$A,0)))*Summary!$B$9*COS(RADIANS(D31))</f>
        <v>0.0423408123370454</v>
      </c>
      <c r="L31" s="3" t="n">
        <f aca="false">SQRT(J31^2+K31^2)</f>
        <v>0.0874055649034411</v>
      </c>
    </row>
    <row r="32" customFormat="false" ht="15" hidden="false" customHeight="false" outlineLevel="0" collapsed="false">
      <c r="A32" s="0" t="s">
        <v>12</v>
      </c>
      <c r="B32" s="0" t="s">
        <v>13</v>
      </c>
      <c r="C32" s="0" t="n">
        <v>31.727216217</v>
      </c>
      <c r="D32" s="2" t="n">
        <v>-34.9183741</v>
      </c>
      <c r="E32" s="2" t="n">
        <v>138.6055412</v>
      </c>
      <c r="F32" s="0" t="n">
        <v>4</v>
      </c>
      <c r="G32" s="0" t="n">
        <v>30</v>
      </c>
      <c r="H32" s="0" t="n">
        <v>0</v>
      </c>
      <c r="I32" s="0" t="n">
        <v>-2.45220422744751</v>
      </c>
      <c r="J32" s="3" t="n">
        <f aca="false">(D32-INDEX(Summary!$C:$C,MATCH(B32,Summary!$A:$A,0)))*Summary!$B$9</f>
        <v>0.109824102237326</v>
      </c>
      <c r="K32" s="3" t="n">
        <f aca="false">(E32-INDEX(Summary!$D:$D,MATCH(B32,Summary!$A:$A,0)))*Summary!$B$9*COS(RADIANS(D32))</f>
        <v>0.0332231749310526</v>
      </c>
      <c r="L32" s="3" t="n">
        <f aca="false">SQRT(J32^2+K32^2)</f>
        <v>0.114739325362902</v>
      </c>
    </row>
    <row r="33" customFormat="false" ht="15" hidden="false" customHeight="false" outlineLevel="0" collapsed="false">
      <c r="A33" s="0" t="s">
        <v>12</v>
      </c>
      <c r="B33" s="0" t="s">
        <v>13</v>
      </c>
      <c r="C33" s="0" t="n">
        <v>32.7294195739999</v>
      </c>
      <c r="D33" s="2" t="n">
        <v>-34.9183734</v>
      </c>
      <c r="E33" s="2" t="n">
        <v>138.6055406</v>
      </c>
      <c r="F33" s="0" t="n">
        <v>4</v>
      </c>
      <c r="G33" s="0" t="n">
        <v>30</v>
      </c>
      <c r="H33" s="0" t="n">
        <v>0</v>
      </c>
      <c r="I33" s="0" t="n">
        <v>-2.45223689079285</v>
      </c>
      <c r="J33" s="3" t="n">
        <f aca="false">(D33-INDEX(Summary!$C:$C,MATCH(B33,Summary!$A:$A,0)))*Summary!$B$9</f>
        <v>0.187660602356843</v>
      </c>
      <c r="K33" s="3" t="n">
        <f aca="false">(E33-INDEX(Summary!$D:$D,MATCH(B33,Summary!$A:$A,0)))*Summary!$B$9*COS(RADIANS(D33))</f>
        <v>-0.0214826532080903</v>
      </c>
      <c r="L33" s="3" t="n">
        <f aca="false">SQRT(J33^2+K33^2)</f>
        <v>0.188886225188054</v>
      </c>
    </row>
    <row r="34" customFormat="false" ht="15" hidden="false" customHeight="false" outlineLevel="0" collapsed="false">
      <c r="A34" s="0" t="s">
        <v>12</v>
      </c>
      <c r="B34" s="0" t="s">
        <v>13</v>
      </c>
      <c r="C34" s="0" t="n">
        <v>33.7309337479999</v>
      </c>
      <c r="D34" s="2" t="n">
        <v>-34.9183727</v>
      </c>
      <c r="E34" s="2" t="n">
        <v>138.6055401</v>
      </c>
      <c r="F34" s="0" t="n">
        <v>4</v>
      </c>
      <c r="G34" s="0" t="n">
        <v>30</v>
      </c>
      <c r="H34" s="0" t="n">
        <v>0.014142135623731</v>
      </c>
      <c r="I34" s="0" t="n">
        <v>-2.45211219787598</v>
      </c>
      <c r="J34" s="3" t="n">
        <f aca="false">(D34-INDEX(Summary!$C:$C,MATCH(B34,Summary!$A:$A,0)))*Summary!$B$9</f>
        <v>0.26549710247636</v>
      </c>
      <c r="K34" s="3" t="n">
        <f aca="false">(E34-INDEX(Summary!$D:$D,MATCH(B34,Summary!$A:$A,0)))*Summary!$B$9*COS(RADIANS(D34))</f>
        <v>-0.0670708445640967</v>
      </c>
      <c r="L34" s="3" t="n">
        <f aca="false">SQRT(J34^2+K34^2)</f>
        <v>0.27383792581358</v>
      </c>
    </row>
    <row r="35" customFormat="false" ht="15" hidden="false" customHeight="false" outlineLevel="0" collapsed="false">
      <c r="A35" s="0" t="s">
        <v>12</v>
      </c>
      <c r="B35" s="0" t="s">
        <v>13</v>
      </c>
      <c r="C35" s="0" t="n">
        <v>34.7323246629999</v>
      </c>
      <c r="D35" s="2" t="n">
        <v>-34.9183721</v>
      </c>
      <c r="E35" s="2" t="n">
        <v>138.6055395</v>
      </c>
      <c r="F35" s="0" t="n">
        <v>4</v>
      </c>
      <c r="G35" s="0" t="n">
        <v>30</v>
      </c>
      <c r="H35" s="0" t="n">
        <v>0.014142135623731</v>
      </c>
      <c r="I35" s="0" t="n">
        <v>-2.45213055610657</v>
      </c>
      <c r="J35" s="3" t="n">
        <f aca="false">(D35-INDEX(Summary!$C:$C,MATCH(B35,Summary!$A:$A,0)))*Summary!$B$9</f>
        <v>0.332214102465933</v>
      </c>
      <c r="K35" s="3" t="n">
        <f aca="false">(E35-INDEX(Summary!$D:$D,MATCH(B35,Summary!$A:$A,0)))*Summary!$B$9*COS(RADIANS(D35))</f>
        <v>-0.121776676934781</v>
      </c>
      <c r="L35" s="3" t="n">
        <f aca="false">SQRT(J35^2+K35^2)</f>
        <v>0.353830141342599</v>
      </c>
    </row>
    <row r="36" customFormat="false" ht="15" hidden="false" customHeight="false" outlineLevel="0" collapsed="false">
      <c r="A36" s="0" t="s">
        <v>12</v>
      </c>
      <c r="B36" s="0" t="s">
        <v>13</v>
      </c>
      <c r="C36" s="0" t="n">
        <v>35.733786152</v>
      </c>
      <c r="D36" s="2" t="n">
        <v>-34.918372</v>
      </c>
      <c r="E36" s="2" t="n">
        <v>138.6055393</v>
      </c>
      <c r="F36" s="0" t="n">
        <v>3</v>
      </c>
      <c r="G36" s="0" t="n">
        <v>31</v>
      </c>
      <c r="H36" s="0" t="n">
        <v>0.01</v>
      </c>
      <c r="I36" s="0" t="n">
        <v>-2.45216727256775</v>
      </c>
      <c r="J36" s="3" t="n">
        <f aca="false">(D36-INDEX(Summary!$C:$C,MATCH(B36,Summary!$A:$A,0)))*Summary!$B$9</f>
        <v>0.343333602595877</v>
      </c>
      <c r="K36" s="3" t="n">
        <f aca="false">(E36-INDEX(Summary!$D:$D,MATCH(B36,Summary!$A:$A,0)))*Summary!$B$9*COS(RADIANS(D36))</f>
        <v>-0.140011952671236</v>
      </c>
      <c r="L36" s="3" t="n">
        <f aca="false">SQRT(J36^2+K36^2)</f>
        <v>0.370784721317203</v>
      </c>
    </row>
    <row r="37" customFormat="false" ht="15" hidden="false" customHeight="false" outlineLevel="0" collapsed="false">
      <c r="A37" s="0" t="s">
        <v>12</v>
      </c>
      <c r="B37" s="0" t="s">
        <v>13</v>
      </c>
      <c r="C37" s="0" t="n">
        <v>36.7353791779999</v>
      </c>
      <c r="D37" s="2" t="n">
        <v>-34.918372</v>
      </c>
      <c r="E37" s="2" t="n">
        <v>138.6055393</v>
      </c>
      <c r="F37" s="0" t="n">
        <v>3</v>
      </c>
      <c r="G37" s="0" t="n">
        <v>31</v>
      </c>
      <c r="H37" s="0" t="n">
        <v>0.01</v>
      </c>
      <c r="I37" s="0" t="n">
        <v>-2.45215821266174</v>
      </c>
      <c r="J37" s="3" t="n">
        <f aca="false">(D37-INDEX(Summary!$C:$C,MATCH(B37,Summary!$A:$A,0)))*Summary!$B$9</f>
        <v>0.343333602595877</v>
      </c>
      <c r="K37" s="3" t="n">
        <f aca="false">(E37-INDEX(Summary!$D:$D,MATCH(B37,Summary!$A:$A,0)))*Summary!$B$9*COS(RADIANS(D37))</f>
        <v>-0.140011952671236</v>
      </c>
      <c r="L37" s="3" t="n">
        <f aca="false">SQRT(J37^2+K37^2)</f>
        <v>0.370784721317203</v>
      </c>
    </row>
    <row r="38" customFormat="false" ht="15" hidden="false" customHeight="false" outlineLevel="0" collapsed="false">
      <c r="A38" s="0" t="s">
        <v>12</v>
      </c>
      <c r="B38" s="0" t="s">
        <v>13</v>
      </c>
      <c r="C38" s="0" t="n">
        <v>37.7368982599999</v>
      </c>
      <c r="D38" s="2" t="n">
        <v>-34.9183723</v>
      </c>
      <c r="E38" s="2" t="n">
        <v>138.6055394</v>
      </c>
      <c r="F38" s="0" t="n">
        <v>3</v>
      </c>
      <c r="G38" s="0" t="n">
        <v>32</v>
      </c>
      <c r="H38" s="0" t="n">
        <v>0</v>
      </c>
      <c r="I38" s="0" t="n">
        <v>-2.4521701335907</v>
      </c>
      <c r="J38" s="3" t="n">
        <f aca="false">(D38-INDEX(Summary!$C:$C,MATCH(B38,Summary!$A:$A,0)))*Summary!$B$9</f>
        <v>0.309975102206046</v>
      </c>
      <c r="K38" s="3" t="n">
        <f aca="false">(E38-INDEX(Summary!$D:$D,MATCH(B38,Summary!$A:$A,0)))*Summary!$B$9*COS(RADIANS(D38))</f>
        <v>-0.130894314398753</v>
      </c>
      <c r="L38" s="3" t="n">
        <f aca="false">SQRT(J38^2+K38^2)</f>
        <v>0.336478655384808</v>
      </c>
    </row>
    <row r="39" customFormat="false" ht="15" hidden="false" customHeight="false" outlineLevel="0" collapsed="false">
      <c r="A39" s="0" t="s">
        <v>12</v>
      </c>
      <c r="B39" s="0" t="s">
        <v>13</v>
      </c>
      <c r="C39" s="0" t="n">
        <v>38.7383996189999</v>
      </c>
      <c r="D39" s="2" t="n">
        <v>-34.9183723</v>
      </c>
      <c r="E39" s="2" t="n">
        <v>138.6055395</v>
      </c>
      <c r="F39" s="0" t="n">
        <v>3</v>
      </c>
      <c r="G39" s="0" t="n">
        <v>31</v>
      </c>
      <c r="H39" s="0" t="n">
        <v>0.01</v>
      </c>
      <c r="I39" s="0" t="n">
        <v>-2.45210289955139</v>
      </c>
      <c r="J39" s="3" t="n">
        <f aca="false">(D39-INDEX(Summary!$C:$C,MATCH(B39,Summary!$A:$A,0)))*Summary!$B$9</f>
        <v>0.309975102206046</v>
      </c>
      <c r="K39" s="3" t="n">
        <f aca="false">(E39-INDEX(Summary!$D:$D,MATCH(B39,Summary!$A:$A,0)))*Summary!$B$9*COS(RADIANS(D39))</f>
        <v>-0.121776676638038</v>
      </c>
      <c r="L39" s="3" t="n">
        <f aca="false">SQRT(J39^2+K39^2)</f>
        <v>0.333037720026807</v>
      </c>
    </row>
    <row r="40" customFormat="false" ht="15" hidden="false" customHeight="false" outlineLevel="0" collapsed="false">
      <c r="A40" s="0" t="s">
        <v>12</v>
      </c>
      <c r="B40" s="0" t="s">
        <v>13</v>
      </c>
      <c r="C40" s="0" t="n">
        <v>39.7398411269999</v>
      </c>
      <c r="D40" s="2" t="n">
        <v>-34.9183724</v>
      </c>
      <c r="E40" s="2" t="n">
        <v>138.6055397</v>
      </c>
      <c r="F40" s="0" t="n">
        <v>3</v>
      </c>
      <c r="G40" s="0" t="n">
        <v>32</v>
      </c>
      <c r="H40" s="0" t="n">
        <v>0.01</v>
      </c>
      <c r="I40" s="0" t="n">
        <v>-2.45212888717651</v>
      </c>
      <c r="J40" s="3" t="n">
        <f aca="false">(D40-INDEX(Summary!$C:$C,MATCH(B40,Summary!$A:$A,0)))*Summary!$B$9</f>
        <v>0.298855602076102</v>
      </c>
      <c r="K40" s="3" t="n">
        <f aca="false">(E40-INDEX(Summary!$D:$D,MATCH(B40,Summary!$A:$A,0)))*Summary!$B$9*COS(RADIANS(D40))</f>
        <v>-0.103541398399065</v>
      </c>
      <c r="L40" s="3" t="n">
        <f aca="false">SQRT(J40^2+K40^2)</f>
        <v>0.316283878935844</v>
      </c>
    </row>
    <row r="41" customFormat="false" ht="15" hidden="false" customHeight="false" outlineLevel="0" collapsed="false">
      <c r="A41" s="0" t="s">
        <v>12</v>
      </c>
      <c r="B41" s="0" t="s">
        <v>13</v>
      </c>
      <c r="C41" s="0" t="n">
        <v>40.7413341529998</v>
      </c>
      <c r="D41" s="2" t="n">
        <v>-34.9183721</v>
      </c>
      <c r="E41" s="2" t="n">
        <v>138.6055394</v>
      </c>
      <c r="F41" s="0" t="n">
        <v>3</v>
      </c>
      <c r="G41" s="0" t="n">
        <v>32</v>
      </c>
      <c r="H41" s="0" t="n">
        <v>0.014142135623731</v>
      </c>
      <c r="I41" s="0" t="n">
        <v>-2.45229434967041</v>
      </c>
      <c r="J41" s="3" t="n">
        <f aca="false">(D41-INDEX(Summary!$C:$C,MATCH(B41,Summary!$A:$A,0)))*Summary!$B$9</f>
        <v>0.332214102465933</v>
      </c>
      <c r="K41" s="3" t="n">
        <f aca="false">(E41-INDEX(Summary!$D:$D,MATCH(B41,Summary!$A:$A,0)))*Summary!$B$9*COS(RADIANS(D41))</f>
        <v>-0.130894314717714</v>
      </c>
      <c r="L41" s="3" t="n">
        <f aca="false">SQRT(J41^2+K41^2)</f>
        <v>0.357070765399053</v>
      </c>
    </row>
    <row r="42" customFormat="false" ht="15" hidden="false" customHeight="false" outlineLevel="0" collapsed="false">
      <c r="A42" s="0" t="s">
        <v>12</v>
      </c>
      <c r="B42" s="0" t="s">
        <v>13</v>
      </c>
      <c r="C42" s="0" t="n">
        <v>41.742707679</v>
      </c>
      <c r="D42" s="2" t="n">
        <v>-34.918372</v>
      </c>
      <c r="E42" s="2" t="n">
        <v>138.6055394</v>
      </c>
      <c r="F42" s="0" t="n">
        <v>3</v>
      </c>
      <c r="G42" s="0" t="n">
        <v>32</v>
      </c>
      <c r="H42" s="0" t="n">
        <v>0.0223606797749979</v>
      </c>
      <c r="I42" s="0" t="n">
        <v>-2.45219492912293</v>
      </c>
      <c r="J42" s="3" t="n">
        <f aca="false">(D42-INDEX(Summary!$C:$C,MATCH(B42,Summary!$A:$A,0)))*Summary!$B$9</f>
        <v>0.343333602595877</v>
      </c>
      <c r="K42" s="3" t="n">
        <f aca="false">(E42-INDEX(Summary!$D:$D,MATCH(B42,Summary!$A:$A,0)))*Summary!$B$9*COS(RADIANS(D42))</f>
        <v>-0.130894314877194</v>
      </c>
      <c r="L42" s="3" t="n">
        <f aca="false">SQRT(J42^2+K42^2)</f>
        <v>0.36743881713645</v>
      </c>
    </row>
    <row r="43" customFormat="false" ht="15" hidden="false" customHeight="false" outlineLevel="0" collapsed="false">
      <c r="A43" s="0" t="s">
        <v>12</v>
      </c>
      <c r="B43" s="0" t="s">
        <v>13</v>
      </c>
      <c r="C43" s="0" t="n">
        <v>42.7440433349998</v>
      </c>
      <c r="D43" s="2" t="n">
        <v>-34.918372</v>
      </c>
      <c r="E43" s="2" t="n">
        <v>138.6055392</v>
      </c>
      <c r="F43" s="0" t="n">
        <v>3</v>
      </c>
      <c r="G43" s="0" t="n">
        <v>32</v>
      </c>
      <c r="H43" s="0" t="n">
        <v>0.01</v>
      </c>
      <c r="I43" s="0" t="n">
        <v>-2.45212817192078</v>
      </c>
      <c r="J43" s="3" t="n">
        <f aca="false">(D43-INDEX(Summary!$C:$C,MATCH(B43,Summary!$A:$A,0)))*Summary!$B$9</f>
        <v>0.343333602595877</v>
      </c>
      <c r="K43" s="3" t="n">
        <f aca="false">(E43-INDEX(Summary!$D:$D,MATCH(B43,Summary!$A:$A,0)))*Summary!$B$9*COS(RADIANS(D43))</f>
        <v>-0.149129590465277</v>
      </c>
      <c r="L43" s="3" t="n">
        <f aca="false">SQRT(J43^2+K43^2)</f>
        <v>0.374322851858933</v>
      </c>
    </row>
    <row r="44" customFormat="false" ht="15" hidden="false" customHeight="false" outlineLevel="0" collapsed="false">
      <c r="A44" s="0" t="s">
        <v>12</v>
      </c>
      <c r="B44" s="0" t="s">
        <v>13</v>
      </c>
      <c r="C44" s="0" t="n">
        <v>43.7453129169999</v>
      </c>
      <c r="D44" s="2" t="n">
        <v>-34.9183719</v>
      </c>
      <c r="E44" s="2" t="n">
        <v>138.6055389</v>
      </c>
      <c r="F44" s="0" t="n">
        <v>3</v>
      </c>
      <c r="G44" s="0" t="n">
        <v>31</v>
      </c>
      <c r="H44" s="0" t="n">
        <v>0.01</v>
      </c>
      <c r="I44" s="0" t="n">
        <v>-2.45213222503662</v>
      </c>
      <c r="J44" s="3" t="n">
        <f aca="false">(D44-INDEX(Summary!$C:$C,MATCH(B44,Summary!$A:$A,0)))*Summary!$B$9</f>
        <v>0.35445310272582</v>
      </c>
      <c r="K44" s="3" t="n">
        <f aca="false">(E44-INDEX(Summary!$D:$D,MATCH(B44,Summary!$A:$A,0)))*Summary!$B$9*COS(RADIANS(D44))</f>
        <v>-0.176482506653815</v>
      </c>
      <c r="L44" s="3" t="n">
        <f aca="false">SQRT(J44^2+K44^2)</f>
        <v>0.395958428609336</v>
      </c>
    </row>
    <row r="45" customFormat="false" ht="15" hidden="false" customHeight="false" outlineLevel="0" collapsed="false">
      <c r="A45" s="0" t="s">
        <v>12</v>
      </c>
      <c r="B45" s="0" t="s">
        <v>13</v>
      </c>
      <c r="C45" s="0" t="n">
        <v>44.7465493509999</v>
      </c>
      <c r="D45" s="2" t="n">
        <v>-34.9183717</v>
      </c>
      <c r="E45" s="2" t="n">
        <v>138.6055387</v>
      </c>
      <c r="F45" s="0" t="n">
        <v>3</v>
      </c>
      <c r="G45" s="0" t="n">
        <v>31</v>
      </c>
      <c r="H45" s="0" t="n">
        <v>0.01</v>
      </c>
      <c r="I45" s="0" t="n">
        <v>-2.45213627815247</v>
      </c>
      <c r="J45" s="3" t="n">
        <f aca="false">(D45-INDEX(Summary!$C:$C,MATCH(B45,Summary!$A:$A,0)))*Summary!$B$9</f>
        <v>0.376692102195619</v>
      </c>
      <c r="K45" s="3" t="n">
        <f aca="false">(E45-INDEX(Summary!$D:$D,MATCH(B45,Summary!$A:$A,0)))*Summary!$B$9*COS(RADIANS(D45))</f>
        <v>-0.1947177827386</v>
      </c>
      <c r="L45" s="3" t="n">
        <f aca="false">SQRT(J45^2+K45^2)</f>
        <v>0.424042397374592</v>
      </c>
    </row>
    <row r="46" customFormat="false" ht="15" hidden="false" customHeight="false" outlineLevel="0" collapsed="false">
      <c r="A46" s="0" t="s">
        <v>12</v>
      </c>
      <c r="B46" s="0" t="s">
        <v>13</v>
      </c>
      <c r="C46" s="0" t="n">
        <v>45.7478438599999</v>
      </c>
      <c r="D46" s="2" t="n">
        <v>-34.9183715</v>
      </c>
      <c r="E46" s="2" t="n">
        <v>138.6055385</v>
      </c>
      <c r="F46" s="0" t="n">
        <v>3</v>
      </c>
      <c r="G46" s="0" t="n">
        <v>31</v>
      </c>
      <c r="H46" s="0" t="n">
        <v>0</v>
      </c>
      <c r="I46" s="0" t="n">
        <v>-2.45220875740051</v>
      </c>
      <c r="J46" s="3" t="n">
        <f aca="false">(D46-INDEX(Summary!$C:$C,MATCH(B46,Summary!$A:$A,0)))*Summary!$B$9</f>
        <v>0.398931102455506</v>
      </c>
      <c r="K46" s="3" t="n">
        <f aca="false">(E46-INDEX(Summary!$D:$D,MATCH(B46,Summary!$A:$A,0)))*Summary!$B$9*COS(RADIANS(D46))</f>
        <v>-0.212953061503645</v>
      </c>
      <c r="L46" s="3" t="n">
        <f aca="false">SQRT(J46^2+K46^2)</f>
        <v>0.452211268004393</v>
      </c>
    </row>
    <row r="47" customFormat="false" ht="15" hidden="false" customHeight="false" outlineLevel="0" collapsed="false">
      <c r="A47" s="0" t="s">
        <v>12</v>
      </c>
      <c r="B47" s="0" t="s">
        <v>13</v>
      </c>
      <c r="C47" s="0" t="n">
        <v>46.749150164</v>
      </c>
      <c r="D47" s="2" t="n">
        <v>-34.9183714</v>
      </c>
      <c r="E47" s="2" t="n">
        <v>138.6055385</v>
      </c>
      <c r="F47" s="0" t="n">
        <v>3</v>
      </c>
      <c r="G47" s="0" t="n">
        <v>32</v>
      </c>
      <c r="H47" s="0" t="n">
        <v>0</v>
      </c>
      <c r="I47" s="0" t="n">
        <v>-2.45223355293274</v>
      </c>
      <c r="J47" s="3" t="n">
        <f aca="false">(D47-INDEX(Summary!$C:$C,MATCH(B47,Summary!$A:$A,0)))*Summary!$B$9</f>
        <v>0.41005060258545</v>
      </c>
      <c r="K47" s="3" t="n">
        <f aca="false">(E47-INDEX(Summary!$D:$D,MATCH(B47,Summary!$A:$A,0)))*Summary!$B$9*COS(RADIANS(D47))</f>
        <v>-0.212953061763105</v>
      </c>
      <c r="L47" s="3" t="n">
        <f aca="false">SQRT(J47^2+K47^2)</f>
        <v>0.462050325392128</v>
      </c>
    </row>
    <row r="48" customFormat="false" ht="15" hidden="false" customHeight="false" outlineLevel="0" collapsed="false">
      <c r="A48" s="0" t="s">
        <v>12</v>
      </c>
      <c r="B48" s="0" t="s">
        <v>13</v>
      </c>
      <c r="C48" s="0" t="n">
        <v>47.750434653</v>
      </c>
      <c r="D48" s="2" t="n">
        <v>-34.9183714</v>
      </c>
      <c r="E48" s="2" t="n">
        <v>138.6055385</v>
      </c>
      <c r="F48" s="0" t="n">
        <v>3</v>
      </c>
      <c r="G48" s="0" t="n">
        <v>31</v>
      </c>
      <c r="H48" s="0" t="n">
        <v>0.01</v>
      </c>
      <c r="I48" s="0" t="n">
        <v>-2.4521746635437</v>
      </c>
      <c r="J48" s="3" t="n">
        <f aca="false">(D48-INDEX(Summary!$C:$C,MATCH(B48,Summary!$A:$A,0)))*Summary!$B$9</f>
        <v>0.41005060258545</v>
      </c>
      <c r="K48" s="3" t="n">
        <f aca="false">(E48-INDEX(Summary!$D:$D,MATCH(B48,Summary!$A:$A,0)))*Summary!$B$9*COS(RADIANS(D48))</f>
        <v>-0.212953061763105</v>
      </c>
      <c r="L48" s="3" t="n">
        <f aca="false">SQRT(J48^2+K48^2)</f>
        <v>0.462050325392128</v>
      </c>
    </row>
    <row r="49" customFormat="false" ht="15" hidden="false" customHeight="false" outlineLevel="0" collapsed="false">
      <c r="A49" s="0" t="s">
        <v>12</v>
      </c>
      <c r="B49" s="0" t="s">
        <v>13</v>
      </c>
      <c r="C49" s="0" t="n">
        <v>48.7528488619998</v>
      </c>
      <c r="D49" s="2" t="n">
        <v>-34.9183713</v>
      </c>
      <c r="E49" s="2" t="n">
        <v>138.6055385</v>
      </c>
      <c r="F49" s="0" t="n">
        <v>3</v>
      </c>
      <c r="G49" s="0" t="n">
        <v>30</v>
      </c>
      <c r="H49" s="0" t="n">
        <v>0</v>
      </c>
      <c r="I49" s="0" t="n">
        <v>-2.45199513435364</v>
      </c>
      <c r="J49" s="3" t="n">
        <f aca="false">(D49-INDEX(Summary!$C:$C,MATCH(B49,Summary!$A:$A,0)))*Summary!$B$9</f>
        <v>0.421170102715394</v>
      </c>
      <c r="K49" s="3" t="n">
        <f aca="false">(E49-INDEX(Summary!$D:$D,MATCH(B49,Summary!$A:$A,0)))*Summary!$B$9*COS(RADIANS(D49))</f>
        <v>-0.212953062022565</v>
      </c>
      <c r="L49" s="3" t="n">
        <f aca="false">SQRT(J49^2+K49^2)</f>
        <v>0.47194624910691</v>
      </c>
    </row>
    <row r="50" customFormat="false" ht="15" hidden="false" customHeight="false" outlineLevel="0" collapsed="false">
      <c r="A50" s="0" t="s">
        <v>12</v>
      </c>
      <c r="B50" s="0" t="s">
        <v>13</v>
      </c>
      <c r="C50" s="0" t="n">
        <v>49.7544804059999</v>
      </c>
      <c r="D50" s="2" t="n">
        <v>-34.9183714</v>
      </c>
      <c r="E50" s="2" t="n">
        <v>138.6055384</v>
      </c>
      <c r="F50" s="0" t="n">
        <v>3</v>
      </c>
      <c r="G50" s="0" t="n">
        <v>31</v>
      </c>
      <c r="H50" s="0" t="n">
        <v>0</v>
      </c>
      <c r="I50" s="0" t="n">
        <v>-2.45206809043884</v>
      </c>
      <c r="J50" s="3" t="n">
        <f aca="false">(D50-INDEX(Summary!$C:$C,MATCH(B50,Summary!$A:$A,0)))*Summary!$B$9</f>
        <v>0.41005060258545</v>
      </c>
      <c r="K50" s="3" t="n">
        <f aca="false">(E50-INDEX(Summary!$D:$D,MATCH(B50,Summary!$A:$A,0)))*Summary!$B$9*COS(RADIANS(D50))</f>
        <v>-0.2220706996238</v>
      </c>
      <c r="L50" s="3" t="n">
        <f aca="false">SQRT(J50^2+K50^2)</f>
        <v>0.466322734071688</v>
      </c>
    </row>
    <row r="51" customFormat="false" ht="15" hidden="false" customHeight="false" outlineLevel="0" collapsed="false">
      <c r="A51" s="0" t="s">
        <v>12</v>
      </c>
      <c r="B51" s="0" t="s">
        <v>13</v>
      </c>
      <c r="C51" s="0" t="n">
        <v>50.7560587099999</v>
      </c>
      <c r="D51" s="2" t="n">
        <v>-34.9183714</v>
      </c>
      <c r="E51" s="2" t="n">
        <v>138.6055383</v>
      </c>
      <c r="F51" s="0" t="n">
        <v>3</v>
      </c>
      <c r="G51" s="0" t="n">
        <v>31</v>
      </c>
      <c r="H51" s="0" t="n">
        <v>0</v>
      </c>
      <c r="I51" s="0" t="n">
        <v>-2.45209193229675</v>
      </c>
      <c r="J51" s="3" t="n">
        <f aca="false">(D51-INDEX(Summary!$C:$C,MATCH(B51,Summary!$A:$A,0)))*Summary!$B$9</f>
        <v>0.41005060258545</v>
      </c>
      <c r="K51" s="3" t="n">
        <f aca="false">(E51-INDEX(Summary!$D:$D,MATCH(B51,Summary!$A:$A,0)))*Summary!$B$9*COS(RADIANS(D51))</f>
        <v>-0.231188337484494</v>
      </c>
      <c r="L51" s="3" t="n">
        <f aca="false">SQRT(J51^2+K51^2)</f>
        <v>0.470732985958638</v>
      </c>
    </row>
    <row r="52" customFormat="false" ht="15" hidden="false" customHeight="false" outlineLevel="0" collapsed="false">
      <c r="A52" s="0" t="s">
        <v>12</v>
      </c>
      <c r="B52" s="0" t="s">
        <v>13</v>
      </c>
      <c r="C52" s="0" t="n">
        <v>51.7579053089999</v>
      </c>
      <c r="D52" s="2" t="n">
        <v>-34.9183715</v>
      </c>
      <c r="E52" s="2" t="n">
        <v>138.6055383</v>
      </c>
      <c r="F52" s="0" t="n">
        <v>3</v>
      </c>
      <c r="G52" s="0" t="n">
        <v>31</v>
      </c>
      <c r="H52" s="0" t="n">
        <v>0.01</v>
      </c>
      <c r="I52" s="0" t="n">
        <v>-2.4519317150116</v>
      </c>
      <c r="J52" s="3" t="n">
        <f aca="false">(D52-INDEX(Summary!$C:$C,MATCH(B52,Summary!$A:$A,0)))*Summary!$B$9</f>
        <v>0.398931102455506</v>
      </c>
      <c r="K52" s="3" t="n">
        <f aca="false">(E52-INDEX(Summary!$D:$D,MATCH(B52,Summary!$A:$A,0)))*Summary!$B$9*COS(RADIANS(D52))</f>
        <v>-0.231188337202817</v>
      </c>
      <c r="L52" s="3" t="n">
        <f aca="false">SQRT(J52^2+K52^2)</f>
        <v>0.461079246729853</v>
      </c>
    </row>
    <row r="53" customFormat="false" ht="15" hidden="false" customHeight="false" outlineLevel="0" collapsed="false">
      <c r="A53" s="0" t="s">
        <v>12</v>
      </c>
      <c r="B53" s="0" t="s">
        <v>13</v>
      </c>
      <c r="C53" s="0" t="n">
        <v>52.7595018719999</v>
      </c>
      <c r="D53" s="2" t="n">
        <v>-34.9183717</v>
      </c>
      <c r="E53" s="2" t="n">
        <v>138.6055386</v>
      </c>
      <c r="F53" s="0" t="n">
        <v>3</v>
      </c>
      <c r="G53" s="0" t="n">
        <v>31</v>
      </c>
      <c r="H53" s="0" t="n">
        <v>0.01</v>
      </c>
      <c r="I53" s="0" t="n">
        <v>-2.45197892189026</v>
      </c>
      <c r="J53" s="3" t="n">
        <f aca="false">(D53-INDEX(Summary!$C:$C,MATCH(B53,Summary!$A:$A,0)))*Summary!$B$9</f>
        <v>0.376692102195619</v>
      </c>
      <c r="K53" s="3" t="n">
        <f aca="false">(E53-INDEX(Summary!$D:$D,MATCH(B53,Summary!$A:$A,0)))*Summary!$B$9*COS(RADIANS(D53))</f>
        <v>-0.203835423157357</v>
      </c>
      <c r="L53" s="3" t="n">
        <f aca="false">SQRT(J53^2+K53^2)</f>
        <v>0.428305754794742</v>
      </c>
    </row>
    <row r="54" customFormat="false" ht="15" hidden="false" customHeight="false" outlineLevel="0" collapsed="false">
      <c r="A54" s="0" t="s">
        <v>12</v>
      </c>
      <c r="B54" s="0" t="s">
        <v>13</v>
      </c>
      <c r="C54" s="0" t="n">
        <v>53.760831436</v>
      </c>
      <c r="D54" s="2" t="n">
        <v>-34.9183715</v>
      </c>
      <c r="E54" s="2" t="n">
        <v>138.6055386</v>
      </c>
      <c r="F54" s="0" t="n">
        <v>3</v>
      </c>
      <c r="G54" s="0" t="n">
        <v>30</v>
      </c>
      <c r="H54" s="0" t="n">
        <v>0</v>
      </c>
      <c r="I54" s="0" t="n">
        <v>-2.45202326774597</v>
      </c>
      <c r="J54" s="3" t="n">
        <f aca="false">(D54-INDEX(Summary!$C:$C,MATCH(B54,Summary!$A:$A,0)))*Summary!$B$9</f>
        <v>0.398931102455506</v>
      </c>
      <c r="K54" s="3" t="n">
        <f aca="false">(E54-INDEX(Summary!$D:$D,MATCH(B54,Summary!$A:$A,0)))*Summary!$B$9*COS(RADIANS(D54))</f>
        <v>-0.203835423654059</v>
      </c>
      <c r="L54" s="3" t="n">
        <f aca="false">SQRT(J54^2+K54^2)</f>
        <v>0.447989848593242</v>
      </c>
    </row>
    <row r="55" customFormat="false" ht="15" hidden="false" customHeight="false" outlineLevel="0" collapsed="false">
      <c r="A55" s="0" t="s">
        <v>12</v>
      </c>
      <c r="B55" s="0" t="s">
        <v>13</v>
      </c>
      <c r="C55" s="0" t="n">
        <v>54.7621639249999</v>
      </c>
      <c r="D55" s="2" t="n">
        <v>-34.9183713</v>
      </c>
      <c r="E55" s="2" t="n">
        <v>138.6055384</v>
      </c>
      <c r="F55" s="0" t="n">
        <v>3</v>
      </c>
      <c r="G55" s="0" t="n">
        <v>31</v>
      </c>
      <c r="H55" s="0" t="n">
        <v>0</v>
      </c>
      <c r="I55" s="0" t="n">
        <v>-2.45218515396118</v>
      </c>
      <c r="J55" s="3" t="n">
        <f aca="false">(D55-INDEX(Summary!$C:$C,MATCH(B55,Summary!$A:$A,0)))*Summary!$B$9</f>
        <v>0.421170102715394</v>
      </c>
      <c r="K55" s="3" t="n">
        <f aca="false">(E55-INDEX(Summary!$D:$D,MATCH(B55,Summary!$A:$A,0)))*Summary!$B$9*COS(RADIANS(D55))</f>
        <v>-0.222070699894369</v>
      </c>
      <c r="L55" s="3" t="n">
        <f aca="false">SQRT(J55^2+K55^2)</f>
        <v>0.476129867969727</v>
      </c>
    </row>
    <row r="56" customFormat="false" ht="15" hidden="false" customHeight="false" outlineLevel="0" collapsed="false">
      <c r="A56" s="0" t="s">
        <v>12</v>
      </c>
      <c r="B56" s="0" t="s">
        <v>13</v>
      </c>
      <c r="C56" s="0" t="n">
        <v>55.7634198029998</v>
      </c>
      <c r="D56" s="2" t="n">
        <v>-34.9183716</v>
      </c>
      <c r="E56" s="2" t="n">
        <v>138.6055383</v>
      </c>
      <c r="F56" s="0" t="n">
        <v>3</v>
      </c>
      <c r="G56" s="0" t="n">
        <v>29</v>
      </c>
      <c r="H56" s="0" t="n">
        <v>0</v>
      </c>
      <c r="I56" s="0" t="n">
        <v>-2.45212364196777</v>
      </c>
      <c r="J56" s="3" t="n">
        <f aca="false">(D56-INDEX(Summary!$C:$C,MATCH(B56,Summary!$A:$A,0)))*Summary!$B$9</f>
        <v>0.387811602325563</v>
      </c>
      <c r="K56" s="3" t="n">
        <f aca="false">(E56-INDEX(Summary!$D:$D,MATCH(B56,Summary!$A:$A,0)))*Summary!$B$9*COS(RADIANS(D56))</f>
        <v>-0.231188336921139</v>
      </c>
      <c r="L56" s="3" t="n">
        <f aca="false">SQRT(J56^2+K56^2)</f>
        <v>0.451492952355496</v>
      </c>
    </row>
    <row r="57" customFormat="false" ht="15" hidden="false" customHeight="false" outlineLevel="0" collapsed="false">
      <c r="A57" s="0" t="s">
        <v>12</v>
      </c>
      <c r="B57" s="0" t="s">
        <v>13</v>
      </c>
      <c r="C57" s="0" t="n">
        <v>56.7647697369998</v>
      </c>
      <c r="D57" s="2" t="n">
        <v>-34.9183716</v>
      </c>
      <c r="E57" s="2" t="n">
        <v>138.6055383</v>
      </c>
      <c r="F57" s="0" t="n">
        <v>3</v>
      </c>
      <c r="G57" s="0" t="n">
        <v>31</v>
      </c>
      <c r="H57" s="0" t="n">
        <v>0.01</v>
      </c>
      <c r="I57" s="0" t="n">
        <v>-2.45189428329468</v>
      </c>
      <c r="J57" s="3" t="n">
        <f aca="false">(D57-INDEX(Summary!$C:$C,MATCH(B57,Summary!$A:$A,0)))*Summary!$B$9</f>
        <v>0.387811602325563</v>
      </c>
      <c r="K57" s="3" t="n">
        <f aca="false">(E57-INDEX(Summary!$D:$D,MATCH(B57,Summary!$A:$A,0)))*Summary!$B$9*COS(RADIANS(D57))</f>
        <v>-0.231188336921139</v>
      </c>
      <c r="L57" s="3" t="n">
        <f aca="false">SQRT(J57^2+K57^2)</f>
        <v>0.451492952355496</v>
      </c>
    </row>
    <row r="58" customFormat="false" ht="15" hidden="false" customHeight="false" outlineLevel="0" collapsed="false">
      <c r="A58" s="0" t="s">
        <v>12</v>
      </c>
      <c r="B58" s="0" t="s">
        <v>13</v>
      </c>
      <c r="C58" s="0" t="n">
        <v>57.7660860229998</v>
      </c>
      <c r="D58" s="2" t="n">
        <v>-34.9183718</v>
      </c>
      <c r="E58" s="2" t="n">
        <v>138.6055384</v>
      </c>
      <c r="F58" s="0" t="n">
        <v>3</v>
      </c>
      <c r="G58" s="0" t="n">
        <v>30</v>
      </c>
      <c r="H58" s="0" t="n">
        <v>0</v>
      </c>
      <c r="I58" s="0" t="n">
        <v>-2.4519031047821</v>
      </c>
      <c r="J58" s="3" t="n">
        <f aca="false">(D58-INDEX(Summary!$C:$C,MATCH(B58,Summary!$A:$A,0)))*Summary!$B$9</f>
        <v>0.365572602065676</v>
      </c>
      <c r="K58" s="3" t="n">
        <f aca="false">(E58-INDEX(Summary!$D:$D,MATCH(B58,Summary!$A:$A,0)))*Summary!$B$9*COS(RADIANS(D58))</f>
        <v>-0.222070698541524</v>
      </c>
      <c r="L58" s="3" t="n">
        <f aca="false">SQRT(J58^2+K58^2)</f>
        <v>0.427736744425575</v>
      </c>
    </row>
    <row r="59" customFormat="false" ht="15" hidden="false" customHeight="false" outlineLevel="0" collapsed="false">
      <c r="A59" s="0" t="s">
        <v>12</v>
      </c>
      <c r="B59" s="0" t="s">
        <v>13</v>
      </c>
      <c r="C59" s="0" t="n">
        <v>58.7675943449999</v>
      </c>
      <c r="D59" s="2" t="n">
        <v>-34.9183717</v>
      </c>
      <c r="E59" s="2" t="n">
        <v>138.6055384</v>
      </c>
      <c r="F59" s="0" t="n">
        <v>3</v>
      </c>
      <c r="G59" s="0" t="n">
        <v>31</v>
      </c>
      <c r="H59" s="0" t="n">
        <v>0.01</v>
      </c>
      <c r="I59" s="0" t="n">
        <v>-2.45194673538208</v>
      </c>
      <c r="J59" s="3" t="n">
        <f aca="false">(D59-INDEX(Summary!$C:$C,MATCH(B59,Summary!$A:$A,0)))*Summary!$B$9</f>
        <v>0.376692102195619</v>
      </c>
      <c r="K59" s="3" t="n">
        <f aca="false">(E59-INDEX(Summary!$D:$D,MATCH(B59,Summary!$A:$A,0)))*Summary!$B$9*COS(RADIANS(D59))</f>
        <v>-0.222070698812093</v>
      </c>
      <c r="L59" s="3" t="n">
        <f aca="false">SQRT(J59^2+K59^2)</f>
        <v>0.437278326843952</v>
      </c>
    </row>
    <row r="60" customFormat="false" ht="15" hidden="false" customHeight="false" outlineLevel="0" collapsed="false">
      <c r="A60" s="0" t="s">
        <v>12</v>
      </c>
      <c r="B60" s="0" t="s">
        <v>13</v>
      </c>
      <c r="C60" s="0" t="n">
        <v>59.769078094</v>
      </c>
      <c r="D60" s="2" t="n">
        <v>-34.9183718</v>
      </c>
      <c r="E60" s="2" t="n">
        <v>138.6055384</v>
      </c>
      <c r="F60" s="0" t="n">
        <v>3</v>
      </c>
      <c r="G60" s="0" t="n">
        <v>31</v>
      </c>
      <c r="H60" s="0" t="n">
        <v>0</v>
      </c>
      <c r="I60" s="0" t="n">
        <v>-2.45186734199524</v>
      </c>
      <c r="J60" s="3" t="n">
        <f aca="false">(D60-INDEX(Summary!$C:$C,MATCH(B60,Summary!$A:$A,0)))*Summary!$B$9</f>
        <v>0.365572602065676</v>
      </c>
      <c r="K60" s="3" t="n">
        <f aca="false">(E60-INDEX(Summary!$D:$D,MATCH(B60,Summary!$A:$A,0)))*Summary!$B$9*COS(RADIANS(D60))</f>
        <v>-0.222070698541524</v>
      </c>
      <c r="L60" s="3" t="n">
        <f aca="false">SQRT(J60^2+K60^2)</f>
        <v>0.427736744425575</v>
      </c>
    </row>
    <row r="61" customFormat="false" ht="15" hidden="false" customHeight="false" outlineLevel="0" collapsed="false">
      <c r="A61" s="0" t="s">
        <v>12</v>
      </c>
      <c r="B61" s="0" t="s">
        <v>13</v>
      </c>
      <c r="C61" s="0" t="n">
        <v>60.7705429719999</v>
      </c>
      <c r="D61" s="2" t="n">
        <v>-34.9183716</v>
      </c>
      <c r="E61" s="2" t="n">
        <v>138.6055383</v>
      </c>
      <c r="F61" s="0" t="n">
        <v>3</v>
      </c>
      <c r="G61" s="0" t="n">
        <v>29</v>
      </c>
      <c r="H61" s="0" t="n">
        <v>0</v>
      </c>
      <c r="I61" s="0" t="n">
        <v>-2.45198321342468</v>
      </c>
      <c r="J61" s="3" t="n">
        <f aca="false">(D61-INDEX(Summary!$C:$C,MATCH(B61,Summary!$A:$A,0)))*Summary!$B$9</f>
        <v>0.387811602325563</v>
      </c>
      <c r="K61" s="3" t="n">
        <f aca="false">(E61-INDEX(Summary!$D:$D,MATCH(B61,Summary!$A:$A,0)))*Summary!$B$9*COS(RADIANS(D61))</f>
        <v>-0.231188336921139</v>
      </c>
      <c r="L61" s="3" t="n">
        <f aca="false">SQRT(J61^2+K61^2)</f>
        <v>0.451492952355496</v>
      </c>
    </row>
    <row r="62" customFormat="false" ht="15" hidden="false" customHeight="false" outlineLevel="0" collapsed="false">
      <c r="A62" s="0" t="s">
        <v>12</v>
      </c>
      <c r="B62" s="0" t="s">
        <v>13</v>
      </c>
      <c r="C62" s="0" t="n">
        <v>61.772048349</v>
      </c>
      <c r="D62" s="2" t="n">
        <v>-34.9183713</v>
      </c>
      <c r="E62" s="2" t="n">
        <v>138.6055381</v>
      </c>
      <c r="F62" s="0" t="n">
        <v>3</v>
      </c>
      <c r="G62" s="0" t="n">
        <v>31</v>
      </c>
      <c r="H62" s="0" t="n">
        <v>0.02</v>
      </c>
      <c r="I62" s="0" t="n">
        <v>-2.45201992988586</v>
      </c>
      <c r="J62" s="3" t="n">
        <f aca="false">(D62-INDEX(Summary!$C:$C,MATCH(B62,Summary!$A:$A,0)))*Summary!$B$9</f>
        <v>0.421170102715394</v>
      </c>
      <c r="K62" s="3" t="n">
        <f aca="false">(E62-INDEX(Summary!$D:$D,MATCH(B62,Summary!$A:$A,0)))*Summary!$B$9*COS(RADIANS(D62))</f>
        <v>-0.249423616101168</v>
      </c>
      <c r="L62" s="3" t="n">
        <f aca="false">SQRT(J62^2+K62^2)</f>
        <v>0.4894858483044</v>
      </c>
    </row>
    <row r="63" customFormat="false" ht="15" hidden="false" customHeight="false" outlineLevel="0" collapsed="false">
      <c r="A63" s="0" t="s">
        <v>12</v>
      </c>
      <c r="B63" s="0" t="s">
        <v>13</v>
      </c>
      <c r="C63" s="0" t="n">
        <v>62.7742161149999</v>
      </c>
      <c r="D63" s="2" t="n">
        <v>-34.918371</v>
      </c>
      <c r="E63" s="2" t="n">
        <v>138.6055381</v>
      </c>
      <c r="F63" s="0" t="n">
        <v>3</v>
      </c>
      <c r="G63" s="0" t="n">
        <v>29</v>
      </c>
      <c r="H63" s="0" t="n">
        <v>0.03</v>
      </c>
      <c r="I63" s="0" t="n">
        <v>-2.45194673538208</v>
      </c>
      <c r="J63" s="3" t="n">
        <f aca="false">(D63-INDEX(Summary!$C:$C,MATCH(B63,Summary!$A:$A,0)))*Summary!$B$9</f>
        <v>0.454528602315136</v>
      </c>
      <c r="K63" s="3" t="n">
        <f aca="false">(E63-INDEX(Summary!$D:$D,MATCH(B63,Summary!$A:$A,0)))*Summary!$B$9*COS(RADIANS(D63))</f>
        <v>-0.249423617012854</v>
      </c>
      <c r="L63" s="3" t="n">
        <f aca="false">SQRT(J63^2+K63^2)</f>
        <v>0.518467348100462</v>
      </c>
    </row>
    <row r="64" customFormat="false" ht="15" hidden="false" customHeight="false" outlineLevel="0" collapsed="false">
      <c r="A64" s="0" t="s">
        <v>12</v>
      </c>
      <c r="B64" s="0" t="s">
        <v>13</v>
      </c>
      <c r="C64" s="0" t="n">
        <v>63.7757383999999</v>
      </c>
      <c r="D64" s="2" t="n">
        <v>-34.9183708</v>
      </c>
      <c r="E64" s="2" t="n">
        <v>138.6055379</v>
      </c>
      <c r="F64" s="0" t="n">
        <v>3</v>
      </c>
      <c r="G64" s="0" t="n">
        <v>28</v>
      </c>
      <c r="H64" s="0" t="n">
        <v>0.02</v>
      </c>
      <c r="I64" s="0" t="n">
        <v>-2.45218753814697</v>
      </c>
      <c r="J64" s="3" t="n">
        <f aca="false">(D64-INDEX(Summary!$C:$C,MATCH(B64,Summary!$A:$A,0)))*Summary!$B$9</f>
        <v>0.476767602575023</v>
      </c>
      <c r="K64" s="3" t="n">
        <f aca="false">(E64-INDEX(Summary!$D:$D,MATCH(B64,Summary!$A:$A,0)))*Summary!$B$9*COS(RADIANS(D64))</f>
        <v>-0.26765889347534</v>
      </c>
      <c r="L64" s="3" t="n">
        <f aca="false">SQRT(J64^2+K64^2)</f>
        <v>0.546761950140625</v>
      </c>
    </row>
    <row r="65" customFormat="false" ht="15" hidden="false" customHeight="false" outlineLevel="0" collapsed="false">
      <c r="A65" s="0" t="s">
        <v>12</v>
      </c>
      <c r="B65" s="0" t="s">
        <v>13</v>
      </c>
      <c r="C65" s="0" t="n">
        <v>64.7772246479999</v>
      </c>
      <c r="D65" s="2" t="n">
        <v>-34.9183706</v>
      </c>
      <c r="E65" s="2" t="n">
        <v>138.6055377</v>
      </c>
      <c r="F65" s="0" t="n">
        <v>3</v>
      </c>
      <c r="G65" s="0" t="n">
        <v>31</v>
      </c>
      <c r="H65" s="0" t="n">
        <v>0.02</v>
      </c>
      <c r="I65" s="0" t="n">
        <v>-2.45249605178833</v>
      </c>
      <c r="J65" s="3" t="n">
        <f aca="false">(D65-INDEX(Summary!$C:$C,MATCH(B65,Summary!$A:$A,0)))*Summary!$B$9</f>
        <v>0.499006602044823</v>
      </c>
      <c r="K65" s="3" t="n">
        <f aca="false">(E65-INDEX(Summary!$D:$D,MATCH(B65,Summary!$A:$A,0)))*Summary!$B$9*COS(RADIANS(D65))</f>
        <v>-0.285894170026697</v>
      </c>
      <c r="L65" s="3" t="n">
        <f aca="false">SQRT(J65^2+K65^2)</f>
        <v>0.575102656348911</v>
      </c>
    </row>
    <row r="66" customFormat="false" ht="15" hidden="false" customHeight="false" outlineLevel="0" collapsed="false">
      <c r="A66" s="0" t="s">
        <v>12</v>
      </c>
      <c r="B66" s="0" t="s">
        <v>13</v>
      </c>
      <c r="C66" s="0" t="n">
        <v>65.7787191</v>
      </c>
      <c r="D66" s="2" t="n">
        <v>-34.9183704</v>
      </c>
      <c r="E66" s="2" t="n">
        <v>138.6055375</v>
      </c>
      <c r="F66" s="0" t="n">
        <v>3</v>
      </c>
      <c r="G66" s="0" t="n">
        <v>29</v>
      </c>
      <c r="H66" s="0" t="n">
        <v>0.01</v>
      </c>
      <c r="I66" s="0" t="n">
        <v>-2.45240473747253</v>
      </c>
      <c r="J66" s="3" t="n">
        <f aca="false">(D66-INDEX(Summary!$C:$C,MATCH(B66,Summary!$A:$A,0)))*Summary!$B$9</f>
        <v>0.52124560230471</v>
      </c>
      <c r="K66" s="3" t="n">
        <f aca="false">(E66-INDEX(Summary!$D:$D,MATCH(B66,Summary!$A:$A,0)))*Summary!$B$9*COS(RADIANS(D66))</f>
        <v>-0.304129449258313</v>
      </c>
      <c r="L66" s="3" t="n">
        <f aca="false">SQRT(J66^2+K66^2)</f>
        <v>0.60348297393395</v>
      </c>
    </row>
    <row r="67" customFormat="false" ht="15" hidden="false" customHeight="false" outlineLevel="0" collapsed="false">
      <c r="A67" s="0" t="s">
        <v>12</v>
      </c>
      <c r="B67" s="0" t="s">
        <v>13</v>
      </c>
      <c r="C67" s="0" t="n">
        <v>66.7802709589998</v>
      </c>
      <c r="D67" s="2" t="n">
        <v>-34.9183705</v>
      </c>
      <c r="E67" s="2" t="n">
        <v>138.6055375</v>
      </c>
      <c r="F67" s="0" t="n">
        <v>3</v>
      </c>
      <c r="G67" s="0" t="n">
        <v>31</v>
      </c>
      <c r="H67" s="0" t="n">
        <v>0</v>
      </c>
      <c r="I67" s="0" t="n">
        <v>-2.45244669914246</v>
      </c>
      <c r="J67" s="3" t="n">
        <f aca="false">(D67-INDEX(Summary!$C:$C,MATCH(B67,Summary!$A:$A,0)))*Summary!$B$9</f>
        <v>0.510126102174766</v>
      </c>
      <c r="K67" s="3" t="n">
        <f aca="false">(E67-INDEX(Summary!$D:$D,MATCH(B67,Summary!$A:$A,0)))*Summary!$B$9*COS(RADIANS(D67))</f>
        <v>-0.304129448887765</v>
      </c>
      <c r="L67" s="3" t="n">
        <f aca="false">SQRT(J67^2+K67^2)</f>
        <v>0.593905179132827</v>
      </c>
    </row>
    <row r="68" customFormat="false" ht="15" hidden="false" customHeight="false" outlineLevel="0" collapsed="false">
      <c r="A68" s="0" t="s">
        <v>12</v>
      </c>
      <c r="B68" s="0" t="s">
        <v>13</v>
      </c>
      <c r="C68" s="0" t="n">
        <v>67.781754356</v>
      </c>
      <c r="D68" s="2" t="n">
        <v>-34.9183703</v>
      </c>
      <c r="E68" s="2" t="n">
        <v>138.6055373</v>
      </c>
      <c r="F68" s="0" t="n">
        <v>3</v>
      </c>
      <c r="G68" s="0" t="n">
        <v>30</v>
      </c>
      <c r="H68" s="0" t="n">
        <v>0</v>
      </c>
      <c r="I68" s="0" t="n">
        <v>-2.45254182815552</v>
      </c>
      <c r="J68" s="3" t="n">
        <f aca="false">(D68-INDEX(Summary!$C:$C,MATCH(B68,Summary!$A:$A,0)))*Summary!$B$9</f>
        <v>0.532365102434653</v>
      </c>
      <c r="K68" s="3" t="n">
        <f aca="false">(E68-INDEX(Summary!$D:$D,MATCH(B68,Summary!$A:$A,0)))*Summary!$B$9*COS(RADIANS(D68))</f>
        <v>-0.322364725594645</v>
      </c>
      <c r="L68" s="3" t="n">
        <f aca="false">SQRT(J68^2+K68^2)</f>
        <v>0.622359718007175</v>
      </c>
    </row>
    <row r="69" customFormat="false" ht="15" hidden="false" customHeight="false" outlineLevel="0" collapsed="false">
      <c r="A69" s="0" t="s">
        <v>12</v>
      </c>
      <c r="B69" s="0" t="s">
        <v>13</v>
      </c>
      <c r="C69" s="0" t="n">
        <v>68.7831318629999</v>
      </c>
      <c r="D69" s="2" t="n">
        <v>-34.9183704</v>
      </c>
      <c r="E69" s="2" t="n">
        <v>138.6055373</v>
      </c>
      <c r="F69" s="0" t="n">
        <v>3</v>
      </c>
      <c r="G69" s="0" t="n">
        <v>30</v>
      </c>
      <c r="H69" s="0" t="n">
        <v>0</v>
      </c>
      <c r="I69" s="0" t="n">
        <v>-2.45248436927795</v>
      </c>
      <c r="J69" s="3" t="n">
        <f aca="false">(D69-INDEX(Summary!$C:$C,MATCH(B69,Summary!$A:$A,0)))*Summary!$B$9</f>
        <v>0.52124560230471</v>
      </c>
      <c r="K69" s="3" t="n">
        <f aca="false">(E69-INDEX(Summary!$D:$D,MATCH(B69,Summary!$A:$A,0)))*Summary!$B$9*COS(RADIANS(D69))</f>
        <v>-0.322364725201879</v>
      </c>
      <c r="L69" s="3" t="n">
        <f aca="false">SQRT(J69^2+K69^2)</f>
        <v>0.612875186295287</v>
      </c>
    </row>
    <row r="70" customFormat="false" ht="15" hidden="false" customHeight="false" outlineLevel="0" collapsed="false">
      <c r="A70" s="0" t="s">
        <v>12</v>
      </c>
      <c r="B70" s="0" t="s">
        <v>13</v>
      </c>
      <c r="C70" s="0" t="n">
        <v>69.7846250749999</v>
      </c>
      <c r="D70" s="2" t="n">
        <v>-34.91837</v>
      </c>
      <c r="E70" s="2" t="n">
        <v>138.6055371</v>
      </c>
      <c r="F70" s="0" t="n">
        <v>3</v>
      </c>
      <c r="G70" s="0" t="n">
        <v>30</v>
      </c>
      <c r="H70" s="0" t="n">
        <v>0</v>
      </c>
      <c r="I70" s="0" t="n">
        <v>-2.45258474349976</v>
      </c>
      <c r="J70" s="3" t="n">
        <f aca="false">(D70-INDEX(Summary!$C:$C,MATCH(B70,Summary!$A:$A,0)))*Summary!$B$9</f>
        <v>0.565723602034396</v>
      </c>
      <c r="K70" s="3" t="n">
        <f aca="false">(E70-INDEX(Summary!$D:$D,MATCH(B70,Summary!$A:$A,0)))*Summary!$B$9*COS(RADIANS(D70))</f>
        <v>-0.340600005396769</v>
      </c>
      <c r="L70" s="3" t="n">
        <f aca="false">SQRT(J70^2+K70^2)</f>
        <v>0.660342000462678</v>
      </c>
    </row>
    <row r="71" customFormat="false" ht="15" hidden="false" customHeight="false" outlineLevel="0" collapsed="false">
      <c r="A71" s="0" t="s">
        <v>12</v>
      </c>
      <c r="B71" s="0" t="s">
        <v>13</v>
      </c>
      <c r="C71" s="0" t="n">
        <v>70.786042082</v>
      </c>
      <c r="D71" s="2" t="n">
        <v>-34.91837</v>
      </c>
      <c r="E71" s="2" t="n">
        <v>138.6055371</v>
      </c>
      <c r="F71" s="0" t="n">
        <v>3</v>
      </c>
      <c r="G71" s="0" t="n">
        <v>30</v>
      </c>
      <c r="H71" s="0" t="n">
        <v>0</v>
      </c>
      <c r="I71" s="0" t="n">
        <v>-2.45244669914246</v>
      </c>
      <c r="J71" s="3" t="n">
        <f aca="false">(D71-INDEX(Summary!$C:$C,MATCH(B71,Summary!$A:$A,0)))*Summary!$B$9</f>
        <v>0.565723602034396</v>
      </c>
      <c r="K71" s="3" t="n">
        <f aca="false">(E71-INDEX(Summary!$D:$D,MATCH(B71,Summary!$A:$A,0)))*Summary!$B$9*COS(RADIANS(D71))</f>
        <v>-0.340600005396769</v>
      </c>
      <c r="L71" s="3" t="n">
        <f aca="false">SQRT(J71^2+K71^2)</f>
        <v>0.660342000462678</v>
      </c>
    </row>
    <row r="72" customFormat="false" ht="15" hidden="false" customHeight="false" outlineLevel="0" collapsed="false">
      <c r="A72" s="0" t="s">
        <v>12</v>
      </c>
      <c r="B72" s="0" t="s">
        <v>13</v>
      </c>
      <c r="C72" s="0" t="n">
        <v>71.7875091829999</v>
      </c>
      <c r="D72" s="2" t="n">
        <v>-34.91837</v>
      </c>
      <c r="E72" s="2" t="n">
        <v>138.6055369</v>
      </c>
      <c r="F72" s="0" t="n">
        <v>3</v>
      </c>
      <c r="G72" s="0" t="n">
        <v>30</v>
      </c>
      <c r="H72" s="0" t="n">
        <v>0</v>
      </c>
      <c r="I72" s="0" t="n">
        <v>-2.45255565643311</v>
      </c>
      <c r="J72" s="3" t="n">
        <f aca="false">(D72-INDEX(Summary!$C:$C,MATCH(B72,Summary!$A:$A,0)))*Summary!$B$9</f>
        <v>0.565723602034396</v>
      </c>
      <c r="K72" s="3" t="n">
        <f aca="false">(E72-INDEX(Summary!$D:$D,MATCH(B72,Summary!$A:$A,0)))*Summary!$B$9*COS(RADIANS(D72))</f>
        <v>-0.358835281429206</v>
      </c>
      <c r="L72" s="3" t="n">
        <f aca="false">SQRT(J72^2+K72^2)</f>
        <v>0.669929812067764</v>
      </c>
    </row>
    <row r="73" customFormat="false" ht="15" hidden="false" customHeight="false" outlineLevel="0" collapsed="false">
      <c r="A73" s="0" t="s">
        <v>12</v>
      </c>
      <c r="B73" s="0" t="s">
        <v>13</v>
      </c>
      <c r="C73" s="0" t="n">
        <v>72.789023005</v>
      </c>
      <c r="D73" s="2" t="n">
        <v>-34.91837</v>
      </c>
      <c r="E73" s="2" t="n">
        <v>138.6055368</v>
      </c>
      <c r="F73" s="0" t="n">
        <v>3</v>
      </c>
      <c r="G73" s="0" t="n">
        <v>29</v>
      </c>
      <c r="H73" s="0" t="n">
        <v>0.01</v>
      </c>
      <c r="I73" s="0" t="n">
        <v>-2.45254111289978</v>
      </c>
      <c r="J73" s="3" t="n">
        <f aca="false">(D73-INDEX(Summary!$C:$C,MATCH(B73,Summary!$A:$A,0)))*Summary!$B$9</f>
        <v>0.565723602034396</v>
      </c>
      <c r="K73" s="3" t="n">
        <f aca="false">(E73-INDEX(Summary!$D:$D,MATCH(B73,Summary!$A:$A,0)))*Summary!$B$9*COS(RADIANS(D73))</f>
        <v>-0.367952919445425</v>
      </c>
      <c r="L73" s="3" t="n">
        <f aca="false">SQRT(J73^2+K73^2)</f>
        <v>0.674857425555341</v>
      </c>
    </row>
    <row r="74" customFormat="false" ht="15" hidden="false" customHeight="false" outlineLevel="0" collapsed="false">
      <c r="A74" s="0" t="s">
        <v>12</v>
      </c>
      <c r="B74" s="0" t="s">
        <v>13</v>
      </c>
      <c r="C74" s="0" t="n">
        <v>73.790330457</v>
      </c>
      <c r="D74" s="2" t="n">
        <v>-34.91837</v>
      </c>
      <c r="E74" s="2" t="n">
        <v>138.6055367</v>
      </c>
      <c r="F74" s="0" t="n">
        <v>3</v>
      </c>
      <c r="G74" s="0" t="n">
        <v>30</v>
      </c>
      <c r="H74" s="0" t="n">
        <v>0</v>
      </c>
      <c r="I74" s="0" t="n">
        <v>-2.45226216316223</v>
      </c>
      <c r="J74" s="3" t="n">
        <f aca="false">(D74-INDEX(Summary!$C:$C,MATCH(B74,Summary!$A:$A,0)))*Summary!$B$9</f>
        <v>0.565723602034396</v>
      </c>
      <c r="K74" s="3" t="n">
        <f aca="false">(E74-INDEX(Summary!$D:$D,MATCH(B74,Summary!$A:$A,0)))*Summary!$B$9*COS(RADIANS(D74))</f>
        <v>-0.377070560053032</v>
      </c>
      <c r="L74" s="3" t="n">
        <f aca="false">SQRT(J74^2+K74^2)</f>
        <v>0.679871606376879</v>
      </c>
    </row>
    <row r="75" customFormat="false" ht="15" hidden="false" customHeight="false" outlineLevel="0" collapsed="false">
      <c r="A75" s="0" t="s">
        <v>14</v>
      </c>
      <c r="B75" s="0" t="s">
        <v>15</v>
      </c>
      <c r="C75" s="0" t="n">
        <v>1.19975645900013</v>
      </c>
      <c r="D75" s="2" t="n">
        <v>-34.9183827</v>
      </c>
      <c r="E75" s="2" t="n">
        <v>138.6055542</v>
      </c>
      <c r="F75" s="0" t="n">
        <v>3</v>
      </c>
      <c r="G75" s="0" t="n">
        <v>29</v>
      </c>
      <c r="H75" s="0" t="n">
        <v>0.02</v>
      </c>
      <c r="I75" s="0" t="n">
        <v>-2.39859867095947</v>
      </c>
      <c r="J75" s="3" t="n">
        <f aca="false">(D75-INDEX(Summary!$C:$C,MATCH(B75,Summary!$A:$A,0)))*Summary!$B$9</f>
        <v>-0.0516729708202846</v>
      </c>
      <c r="K75" s="3" t="n">
        <f aca="false">(E75-INDEX(Summary!$D:$D,MATCH(B75,Summary!$A:$A,0)))*Summary!$B$9*COS(RADIANS(D75))</f>
        <v>-0.0112629640849647</v>
      </c>
      <c r="L75" s="3" t="n">
        <f aca="false">SQRT(J75^2+K75^2)</f>
        <v>0.0528862011622425</v>
      </c>
    </row>
    <row r="76" customFormat="false" ht="15" hidden="false" customHeight="false" outlineLevel="0" collapsed="false">
      <c r="A76" s="0" t="s">
        <v>14</v>
      </c>
      <c r="B76" s="0" t="s">
        <v>15</v>
      </c>
      <c r="C76" s="0" t="n">
        <v>2.20189285400011</v>
      </c>
      <c r="D76" s="2" t="n">
        <v>-34.9183828</v>
      </c>
      <c r="E76" s="2" t="n">
        <v>138.6055542</v>
      </c>
      <c r="F76" s="0" t="n">
        <v>3</v>
      </c>
      <c r="G76" s="0" t="n">
        <v>30</v>
      </c>
      <c r="H76" s="0" t="n">
        <v>0.02</v>
      </c>
      <c r="I76" s="0" t="n">
        <v>-2.39798307418823</v>
      </c>
      <c r="J76" s="3" t="n">
        <f aca="false">(D76-INDEX(Summary!$C:$C,MATCH(B76,Summary!$A:$A,0)))*Summary!$B$9</f>
        <v>-0.0627924709502281</v>
      </c>
      <c r="K76" s="3" t="n">
        <f aca="false">(E76-INDEX(Summary!$D:$D,MATCH(B76,Summary!$A:$A,0)))*Summary!$B$9*COS(RADIANS(D76))</f>
        <v>-0.011262964071242</v>
      </c>
      <c r="L76" s="3" t="n">
        <f aca="false">SQRT(J76^2+K76^2)</f>
        <v>0.0637945825890046</v>
      </c>
    </row>
    <row r="77" customFormat="false" ht="15" hidden="false" customHeight="false" outlineLevel="0" collapsed="false">
      <c r="A77" s="0" t="s">
        <v>14</v>
      </c>
      <c r="B77" s="0" t="s">
        <v>15</v>
      </c>
      <c r="C77" s="0" t="n">
        <v>3.203459565</v>
      </c>
      <c r="D77" s="2" t="n">
        <v>-34.9183829</v>
      </c>
      <c r="E77" s="2" t="n">
        <v>138.6055543</v>
      </c>
      <c r="F77" s="0" t="n">
        <v>3</v>
      </c>
      <c r="G77" s="0" t="n">
        <v>31</v>
      </c>
      <c r="H77" s="0" t="n">
        <v>0.01</v>
      </c>
      <c r="I77" s="0" t="n">
        <v>-2.39728236198425</v>
      </c>
      <c r="J77" s="3" t="n">
        <f aca="false">(D77-INDEX(Summary!$C:$C,MATCH(B77,Summary!$A:$A,0)))*Summary!$B$9</f>
        <v>-0.0739119702900837</v>
      </c>
      <c r="K77" s="3" t="n">
        <f aca="false">(E77-INDEX(Summary!$D:$D,MATCH(B77,Summary!$A:$A,0)))*Summary!$B$9*COS(RADIANS(D77))</f>
        <v>-0.00214532747434208</v>
      </c>
      <c r="L77" s="3" t="n">
        <f aca="false">SQRT(J77^2+K77^2)</f>
        <v>0.073943098272485</v>
      </c>
    </row>
    <row r="78" customFormat="false" ht="15" hidden="false" customHeight="false" outlineLevel="0" collapsed="false">
      <c r="A78" s="0" t="s">
        <v>14</v>
      </c>
      <c r="B78" s="0" t="s">
        <v>15</v>
      </c>
      <c r="C78" s="0" t="n">
        <v>4.2050489610001</v>
      </c>
      <c r="D78" s="2" t="n">
        <v>-34.9183827</v>
      </c>
      <c r="E78" s="2" t="n">
        <v>138.6055542</v>
      </c>
      <c r="F78" s="0" t="n">
        <v>3</v>
      </c>
      <c r="G78" s="0" t="n">
        <v>31</v>
      </c>
      <c r="H78" s="0" t="n">
        <v>0.01</v>
      </c>
      <c r="I78" s="0" t="n">
        <v>-2.39526748657227</v>
      </c>
      <c r="J78" s="3" t="n">
        <f aca="false">(D78-INDEX(Summary!$C:$C,MATCH(B78,Summary!$A:$A,0)))*Summary!$B$9</f>
        <v>-0.0516729708202846</v>
      </c>
      <c r="K78" s="3" t="n">
        <f aca="false">(E78-INDEX(Summary!$D:$D,MATCH(B78,Summary!$A:$A,0)))*Summary!$B$9*COS(RADIANS(D78))</f>
        <v>-0.0112629640849647</v>
      </c>
      <c r="L78" s="3" t="n">
        <f aca="false">SQRT(J78^2+K78^2)</f>
        <v>0.0528862011622425</v>
      </c>
    </row>
    <row r="79" customFormat="false" ht="15" hidden="false" customHeight="false" outlineLevel="0" collapsed="false">
      <c r="A79" s="0" t="s">
        <v>14</v>
      </c>
      <c r="B79" s="0" t="s">
        <v>15</v>
      </c>
      <c r="C79" s="0" t="n">
        <v>5.20666024600018</v>
      </c>
      <c r="D79" s="2" t="n">
        <v>-34.9183825</v>
      </c>
      <c r="E79" s="2" t="n">
        <v>138.6055541</v>
      </c>
      <c r="F79" s="0" t="n">
        <v>3</v>
      </c>
      <c r="G79" s="0" t="n">
        <v>31</v>
      </c>
      <c r="H79" s="0" t="n">
        <v>0</v>
      </c>
      <c r="I79" s="0" t="n">
        <v>-2.39417695999146</v>
      </c>
      <c r="J79" s="3" t="n">
        <f aca="false">(D79-INDEX(Summary!$C:$C,MATCH(B79,Summary!$A:$A,0)))*Summary!$B$9</f>
        <v>-0.0294339705603974</v>
      </c>
      <c r="K79" s="3" t="n">
        <f aca="false">(E79-INDEX(Summary!$D:$D,MATCH(B79,Summary!$A:$A,0)))*Summary!$B$9*COS(RADIANS(D79))</f>
        <v>-0.0203806007400226</v>
      </c>
      <c r="L79" s="3" t="n">
        <f aca="false">SQRT(J79^2+K79^2)</f>
        <v>0.0358012221785033</v>
      </c>
    </row>
    <row r="80" customFormat="false" ht="15" hidden="false" customHeight="false" outlineLevel="0" collapsed="false">
      <c r="A80" s="0" t="s">
        <v>14</v>
      </c>
      <c r="B80" s="0" t="s">
        <v>15</v>
      </c>
      <c r="C80" s="0" t="n">
        <v>6.20824793800011</v>
      </c>
      <c r="D80" s="2" t="n">
        <v>-34.9183824</v>
      </c>
      <c r="E80" s="2" t="n">
        <v>138.605554</v>
      </c>
      <c r="F80" s="0" t="n">
        <v>3</v>
      </c>
      <c r="G80" s="0" t="n">
        <v>30</v>
      </c>
      <c r="H80" s="0" t="n">
        <v>0</v>
      </c>
      <c r="I80" s="0" t="n">
        <v>-2.39317393302918</v>
      </c>
      <c r="J80" s="3" t="n">
        <f aca="false">(D80-INDEX(Summary!$C:$C,MATCH(B80,Summary!$A:$A,0)))*Summary!$B$9</f>
        <v>-0.0183144704304539</v>
      </c>
      <c r="K80" s="3" t="n">
        <f aca="false">(E80-INDEX(Summary!$D:$D,MATCH(B80,Summary!$A:$A,0)))*Summary!$B$9*COS(RADIANS(D80))</f>
        <v>-0.0294982374035756</v>
      </c>
      <c r="L80" s="3" t="n">
        <f aca="false">SQRT(J80^2+K80^2)</f>
        <v>0.0347212591515008</v>
      </c>
    </row>
    <row r="81" customFormat="false" ht="15" hidden="false" customHeight="false" outlineLevel="0" collapsed="false">
      <c r="A81" s="0" t="s">
        <v>14</v>
      </c>
      <c r="B81" s="0" t="s">
        <v>15</v>
      </c>
      <c r="C81" s="0" t="n">
        <v>7.20959096500019</v>
      </c>
      <c r="D81" s="2" t="n">
        <v>-34.9183825</v>
      </c>
      <c r="E81" s="2" t="n">
        <v>138.6055542</v>
      </c>
      <c r="F81" s="0" t="n">
        <v>3</v>
      </c>
      <c r="G81" s="0" t="n">
        <v>30</v>
      </c>
      <c r="H81" s="0" t="n">
        <v>0</v>
      </c>
      <c r="I81" s="0" t="n">
        <v>-2.39201927185059</v>
      </c>
      <c r="J81" s="3" t="n">
        <f aca="false">(D81-INDEX(Summary!$C:$C,MATCH(B81,Summary!$A:$A,0)))*Summary!$B$9</f>
        <v>-0.0294339705603974</v>
      </c>
      <c r="K81" s="3" t="n">
        <f aca="false">(E81-INDEX(Summary!$D:$D,MATCH(B81,Summary!$A:$A,0)))*Summary!$B$9*COS(RADIANS(D81))</f>
        <v>-0.0112629641124101</v>
      </c>
      <c r="L81" s="3" t="n">
        <f aca="false">SQRT(J81^2+K81^2)</f>
        <v>0.0315152817462859</v>
      </c>
    </row>
    <row r="82" customFormat="false" ht="15" hidden="false" customHeight="false" outlineLevel="0" collapsed="false">
      <c r="A82" s="0" t="s">
        <v>14</v>
      </c>
      <c r="B82" s="0" t="s">
        <v>15</v>
      </c>
      <c r="C82" s="0" t="n">
        <v>8.21084434300019</v>
      </c>
      <c r="D82" s="2" t="n">
        <v>-34.9183823</v>
      </c>
      <c r="E82" s="2" t="n">
        <v>138.6055541</v>
      </c>
      <c r="F82" s="0" t="n">
        <v>3</v>
      </c>
      <c r="G82" s="0" t="n">
        <v>31</v>
      </c>
      <c r="H82" s="0" t="n">
        <v>0</v>
      </c>
      <c r="I82" s="0" t="n">
        <v>-2.39106678962708</v>
      </c>
      <c r="J82" s="3" t="n">
        <f aca="false">(D82-INDEX(Summary!$C:$C,MATCH(B82,Summary!$A:$A,0)))*Summary!$B$9</f>
        <v>-0.00719497030051031</v>
      </c>
      <c r="K82" s="3" t="n">
        <f aca="false">(E82-INDEX(Summary!$D:$D,MATCH(B82,Summary!$A:$A,0)))*Summary!$B$9*COS(RADIANS(D82))</f>
        <v>-0.0203806007896857</v>
      </c>
      <c r="L82" s="3" t="n">
        <f aca="false">SQRT(J82^2+K82^2)</f>
        <v>0.0216133404677242</v>
      </c>
    </row>
    <row r="83" customFormat="false" ht="15" hidden="false" customHeight="false" outlineLevel="0" collapsed="false">
      <c r="A83" s="0" t="s">
        <v>14</v>
      </c>
      <c r="B83" s="0" t="s">
        <v>15</v>
      </c>
      <c r="C83" s="0" t="n">
        <v>9.21207633300014</v>
      </c>
      <c r="D83" s="2" t="n">
        <v>-34.918382</v>
      </c>
      <c r="E83" s="2" t="n">
        <v>138.605554</v>
      </c>
      <c r="F83" s="0" t="n">
        <v>3</v>
      </c>
      <c r="G83" s="0" t="n">
        <v>30</v>
      </c>
      <c r="H83" s="0" t="n">
        <v>0</v>
      </c>
      <c r="I83" s="0" t="n">
        <v>-2.38949036598206</v>
      </c>
      <c r="J83" s="3" t="n">
        <f aca="false">(D83-INDEX(Summary!$C:$C,MATCH(B83,Summary!$A:$A,0)))*Summary!$B$9</f>
        <v>0.0261635292992324</v>
      </c>
      <c r="K83" s="3" t="n">
        <f aca="false">(E83-INDEX(Summary!$D:$D,MATCH(B83,Summary!$A:$A,0)))*Summary!$B$9*COS(RADIANS(D83))</f>
        <v>-0.0294982375473372</v>
      </c>
      <c r="L83" s="3" t="n">
        <f aca="false">SQRT(J83^2+K83^2)</f>
        <v>0.0394293835076193</v>
      </c>
    </row>
    <row r="84" customFormat="false" ht="15" hidden="false" customHeight="false" outlineLevel="0" collapsed="false">
      <c r="A84" s="0" t="s">
        <v>14</v>
      </c>
      <c r="B84" s="0" t="s">
        <v>15</v>
      </c>
      <c r="C84" s="0" t="n">
        <v>10.2133301380002</v>
      </c>
      <c r="D84" s="2" t="n">
        <v>-34.918382</v>
      </c>
      <c r="E84" s="2" t="n">
        <v>138.6055537</v>
      </c>
      <c r="F84" s="0" t="n">
        <v>3</v>
      </c>
      <c r="G84" s="0" t="n">
        <v>29</v>
      </c>
      <c r="H84" s="0" t="n">
        <v>0</v>
      </c>
      <c r="I84" s="0" t="n">
        <v>-2.3892605304718</v>
      </c>
      <c r="J84" s="3" t="n">
        <f aca="false">(D84-INDEX(Summary!$C:$C,MATCH(B84,Summary!$A:$A,0)))*Summary!$B$9</f>
        <v>0.0261635292992324</v>
      </c>
      <c r="K84" s="3" t="n">
        <f aca="false">(E84-INDEX(Summary!$D:$D,MATCH(B84,Summary!$A:$A,0)))*Summary!$B$9*COS(RADIANS(D84))</f>
        <v>-0.056851150188196</v>
      </c>
      <c r="L84" s="3" t="n">
        <f aca="false">SQRT(J84^2+K84^2)</f>
        <v>0.0625826137446544</v>
      </c>
    </row>
    <row r="85" customFormat="false" ht="15" hidden="false" customHeight="false" outlineLevel="0" collapsed="false">
      <c r="A85" s="0" t="s">
        <v>14</v>
      </c>
      <c r="B85" s="0" t="s">
        <v>15</v>
      </c>
      <c r="C85" s="0" t="n">
        <v>11.2146599790001</v>
      </c>
      <c r="D85" s="2" t="n">
        <v>-34.9183818</v>
      </c>
      <c r="E85" s="2" t="n">
        <v>138.6055535</v>
      </c>
      <c r="F85" s="0" t="n">
        <v>3</v>
      </c>
      <c r="G85" s="0" t="n">
        <v>31</v>
      </c>
      <c r="H85" s="0" t="n">
        <v>0</v>
      </c>
      <c r="I85" s="0" t="n">
        <v>-2.38568592071533</v>
      </c>
      <c r="J85" s="3" t="n">
        <f aca="false">(D85-INDEX(Summary!$C:$C,MATCH(B85,Summary!$A:$A,0)))*Summary!$B$9</f>
        <v>0.0484025295591195</v>
      </c>
      <c r="K85" s="3" t="n">
        <f aca="false">(E85-INDEX(Summary!$D:$D,MATCH(B85,Summary!$A:$A,0)))*Summary!$B$9*COS(RADIANS(D85))</f>
        <v>-0.0750864237374789</v>
      </c>
      <c r="L85" s="3" t="n">
        <f aca="false">SQRT(J85^2+K85^2)</f>
        <v>0.0893351884612423</v>
      </c>
    </row>
    <row r="86" customFormat="false" ht="15" hidden="false" customHeight="false" outlineLevel="0" collapsed="false">
      <c r="A86" s="0" t="s">
        <v>14</v>
      </c>
      <c r="B86" s="0" t="s">
        <v>15</v>
      </c>
      <c r="C86" s="0" t="n">
        <v>12.215924413</v>
      </c>
      <c r="D86" s="2" t="n">
        <v>-34.918382</v>
      </c>
      <c r="E86" s="2" t="n">
        <v>138.6055536</v>
      </c>
      <c r="F86" s="0" t="n">
        <v>3</v>
      </c>
      <c r="G86" s="0" t="n">
        <v>30</v>
      </c>
      <c r="H86" s="0" t="n">
        <v>0.01</v>
      </c>
      <c r="I86" s="0" t="n">
        <v>-2.38497304916382</v>
      </c>
      <c r="J86" s="3" t="n">
        <f aca="false">(D86-INDEX(Summary!$C:$C,MATCH(B86,Summary!$A:$A,0)))*Summary!$B$9</f>
        <v>0.0261635292992324</v>
      </c>
      <c r="K86" s="3" t="n">
        <f aca="false">(E86-INDEX(Summary!$D:$D,MATCH(B86,Summary!$A:$A,0)))*Summary!$B$9*COS(RADIANS(D86))</f>
        <v>-0.0659687868713528</v>
      </c>
      <c r="L86" s="3" t="n">
        <f aca="false">SQRT(J86^2+K86^2)</f>
        <v>0.070967676491976</v>
      </c>
    </row>
    <row r="87" customFormat="false" ht="15" hidden="false" customHeight="false" outlineLevel="0" collapsed="false">
      <c r="A87" s="0" t="s">
        <v>14</v>
      </c>
      <c r="B87" s="0" t="s">
        <v>15</v>
      </c>
      <c r="C87" s="0" t="n">
        <v>13.21723305</v>
      </c>
      <c r="D87" s="2" t="n">
        <v>-34.9183823</v>
      </c>
      <c r="E87" s="2" t="n">
        <v>138.6055538</v>
      </c>
      <c r="F87" s="0" t="n">
        <v>3</v>
      </c>
      <c r="G87" s="0" t="n">
        <v>31</v>
      </c>
      <c r="H87" s="0" t="n">
        <v>0.03</v>
      </c>
      <c r="I87" s="0" t="n">
        <v>-2.38341784477234</v>
      </c>
      <c r="J87" s="3" t="n">
        <f aca="false">(D87-INDEX(Summary!$C:$C,MATCH(B87,Summary!$A:$A,0)))*Summary!$B$9</f>
        <v>-0.00719497030051031</v>
      </c>
      <c r="K87" s="3" t="n">
        <f aca="false">(E87-INDEX(Summary!$D:$D,MATCH(B87,Summary!$A:$A,0)))*Summary!$B$9*COS(RADIANS(D87))</f>
        <v>-0.0477335133305649</v>
      </c>
      <c r="L87" s="3" t="n">
        <f aca="false">SQRT(J87^2+K87^2)</f>
        <v>0.0482727241048653</v>
      </c>
    </row>
    <row r="88" customFormat="false" ht="15" hidden="false" customHeight="false" outlineLevel="0" collapsed="false">
      <c r="A88" s="0" t="s">
        <v>14</v>
      </c>
      <c r="B88" s="0" t="s">
        <v>15</v>
      </c>
      <c r="C88" s="0" t="n">
        <v>14.2195644450001</v>
      </c>
      <c r="D88" s="2" t="n">
        <v>-34.9183821</v>
      </c>
      <c r="E88" s="2" t="n">
        <v>138.6055538</v>
      </c>
      <c r="F88" s="0" t="n">
        <v>3</v>
      </c>
      <c r="G88" s="0" t="n">
        <v>31</v>
      </c>
      <c r="H88" s="0" t="n">
        <v>0.01</v>
      </c>
      <c r="I88" s="0" t="n">
        <v>-2.38124918937683</v>
      </c>
      <c r="J88" s="3" t="n">
        <f aca="false">(D88-INDEX(Summary!$C:$C,MATCH(B88,Summary!$A:$A,0)))*Summary!$B$9</f>
        <v>0.0150440291692888</v>
      </c>
      <c r="K88" s="3" t="n">
        <f aca="false">(E88-INDEX(Summary!$D:$D,MATCH(B88,Summary!$A:$A,0)))*Summary!$B$9*COS(RADIANS(D88))</f>
        <v>-0.0477335134468811</v>
      </c>
      <c r="L88" s="3" t="n">
        <f aca="false">SQRT(J88^2+K88^2)</f>
        <v>0.0500480880716735</v>
      </c>
    </row>
    <row r="89" customFormat="false" ht="15" hidden="false" customHeight="false" outlineLevel="0" collapsed="false">
      <c r="A89" s="0" t="s">
        <v>14</v>
      </c>
      <c r="B89" s="0" t="s">
        <v>15</v>
      </c>
      <c r="C89" s="0" t="n">
        <v>15.2210903040002</v>
      </c>
      <c r="D89" s="2" t="n">
        <v>-34.9183823</v>
      </c>
      <c r="E89" s="2" t="n">
        <v>138.605554</v>
      </c>
      <c r="F89" s="0" t="n">
        <v>3</v>
      </c>
      <c r="G89" s="0" t="n">
        <v>31</v>
      </c>
      <c r="H89" s="0" t="n">
        <v>0.014142135623731</v>
      </c>
      <c r="I89" s="0" t="n">
        <v>-2.379390001297</v>
      </c>
      <c r="J89" s="3" t="n">
        <f aca="false">(D89-INDEX(Summary!$C:$C,MATCH(B89,Summary!$A:$A,0)))*Summary!$B$9</f>
        <v>-0.00719497030051031</v>
      </c>
      <c r="K89" s="3" t="n">
        <f aca="false">(E89-INDEX(Summary!$D:$D,MATCH(B89,Summary!$A:$A,0)))*Summary!$B$9*COS(RADIANS(D89))</f>
        <v>-0.029498237439516</v>
      </c>
      <c r="L89" s="3" t="n">
        <f aca="false">SQRT(J89^2+K89^2)</f>
        <v>0.0303630303109437</v>
      </c>
    </row>
    <row r="90" customFormat="false" ht="15" hidden="false" customHeight="false" outlineLevel="0" collapsed="false">
      <c r="A90" s="0" t="s">
        <v>14</v>
      </c>
      <c r="B90" s="0" t="s">
        <v>15</v>
      </c>
      <c r="C90" s="0" t="n">
        <v>16.2225336450001</v>
      </c>
      <c r="D90" s="2" t="n">
        <v>-34.9183822</v>
      </c>
      <c r="E90" s="2" t="n">
        <v>138.6055543</v>
      </c>
      <c r="F90" s="0" t="n">
        <v>3</v>
      </c>
      <c r="G90" s="0" t="n">
        <v>29</v>
      </c>
      <c r="H90" s="0" t="n">
        <v>0.0223606797749979</v>
      </c>
      <c r="I90" s="0" t="n">
        <v>-2.37796258926392</v>
      </c>
      <c r="J90" s="3" t="n">
        <f aca="false">(D90-INDEX(Summary!$C:$C,MATCH(B90,Summary!$A:$A,0)))*Summary!$B$9</f>
        <v>0.00392452903934526</v>
      </c>
      <c r="K90" s="3" t="n">
        <f aca="false">(E90-INDEX(Summary!$D:$D,MATCH(B90,Summary!$A:$A,0)))*Summary!$B$9*COS(RADIANS(D90))</f>
        <v>-0.00214532749263902</v>
      </c>
      <c r="L90" s="3" t="n">
        <f aca="false">SQRT(J90^2+K90^2)</f>
        <v>0.00447262319353386</v>
      </c>
    </row>
    <row r="91" customFormat="false" ht="15" hidden="false" customHeight="false" outlineLevel="0" collapsed="false">
      <c r="A91" s="0" t="s">
        <v>14</v>
      </c>
      <c r="B91" s="0" t="s">
        <v>15</v>
      </c>
      <c r="C91" s="0" t="n">
        <v>17.224013023</v>
      </c>
      <c r="D91" s="2" t="n">
        <v>-34.9183821</v>
      </c>
      <c r="E91" s="2" t="n">
        <v>138.6055541</v>
      </c>
      <c r="F91" s="0" t="n">
        <v>3</v>
      </c>
      <c r="G91" s="0" t="n">
        <v>32</v>
      </c>
      <c r="H91" s="0" t="n">
        <v>0.01</v>
      </c>
      <c r="I91" s="0" t="n">
        <v>-2.38012027740479</v>
      </c>
      <c r="J91" s="3" t="n">
        <f aca="false">(D91-INDEX(Summary!$C:$C,MATCH(B91,Summary!$A:$A,0)))*Summary!$B$9</f>
        <v>0.0150440291692888</v>
      </c>
      <c r="K91" s="3" t="n">
        <f aca="false">(E91-INDEX(Summary!$D:$D,MATCH(B91,Summary!$A:$A,0)))*Summary!$B$9*COS(RADIANS(D91))</f>
        <v>-0.0203806008393488</v>
      </c>
      <c r="L91" s="3" t="n">
        <f aca="false">SQRT(J91^2+K91^2)</f>
        <v>0.0253316344561356</v>
      </c>
    </row>
    <row r="92" customFormat="false" ht="15" hidden="false" customHeight="false" outlineLevel="0" collapsed="false">
      <c r="A92" s="0" t="s">
        <v>14</v>
      </c>
      <c r="B92" s="0" t="s">
        <v>15</v>
      </c>
      <c r="C92" s="0" t="n">
        <v>18.2255810860002</v>
      </c>
      <c r="D92" s="2" t="n">
        <v>-34.9183824</v>
      </c>
      <c r="E92" s="2" t="n">
        <v>138.6055541</v>
      </c>
      <c r="F92" s="0" t="n">
        <v>3</v>
      </c>
      <c r="G92" s="0" t="n">
        <v>32</v>
      </c>
      <c r="H92" s="0" t="n">
        <v>0.02</v>
      </c>
      <c r="I92" s="0" t="n">
        <v>-2.38239908218384</v>
      </c>
      <c r="J92" s="3" t="n">
        <f aca="false">(D92-INDEX(Summary!$C:$C,MATCH(B92,Summary!$A:$A,0)))*Summary!$B$9</f>
        <v>-0.0183144704304539</v>
      </c>
      <c r="K92" s="3" t="n">
        <f aca="false">(E92-INDEX(Summary!$D:$D,MATCH(B92,Summary!$A:$A,0)))*Summary!$B$9*COS(RADIANS(D92))</f>
        <v>-0.0203806007648542</v>
      </c>
      <c r="L92" s="3" t="n">
        <f aca="false">SQRT(J92^2+K92^2)</f>
        <v>0.02740052398558</v>
      </c>
    </row>
    <row r="93" customFormat="false" ht="15" hidden="false" customHeight="false" outlineLevel="0" collapsed="false">
      <c r="A93" s="0" t="s">
        <v>14</v>
      </c>
      <c r="B93" s="0" t="s">
        <v>15</v>
      </c>
      <c r="C93" s="0" t="n">
        <v>19.2269098900001</v>
      </c>
      <c r="D93" s="2" t="n">
        <v>-34.9183823</v>
      </c>
      <c r="E93" s="2" t="n">
        <v>138.6055542</v>
      </c>
      <c r="F93" s="0" t="n">
        <v>3</v>
      </c>
      <c r="G93" s="0" t="n">
        <v>31</v>
      </c>
      <c r="H93" s="0" t="n">
        <v>0.02</v>
      </c>
      <c r="I93" s="0" t="n">
        <v>-2.37942695617676</v>
      </c>
      <c r="J93" s="3" t="n">
        <f aca="false">(D93-INDEX(Summary!$C:$C,MATCH(B93,Summary!$A:$A,0)))*Summary!$B$9</f>
        <v>-0.00719497030051031</v>
      </c>
      <c r="K93" s="3" t="n">
        <f aca="false">(E93-INDEX(Summary!$D:$D,MATCH(B93,Summary!$A:$A,0)))*Summary!$B$9*COS(RADIANS(D93))</f>
        <v>-0.0112629641398554</v>
      </c>
      <c r="L93" s="3" t="n">
        <f aca="false">SQRT(J93^2+K93^2)</f>
        <v>0.0133649526314497</v>
      </c>
    </row>
    <row r="94" customFormat="false" ht="15" hidden="false" customHeight="false" outlineLevel="0" collapsed="false">
      <c r="A94" s="0" t="s">
        <v>14</v>
      </c>
      <c r="B94" s="0" t="s">
        <v>15</v>
      </c>
      <c r="C94" s="0" t="n">
        <v>20.2281857500002</v>
      </c>
      <c r="D94" s="2" t="n">
        <v>-34.9183822</v>
      </c>
      <c r="E94" s="2" t="n">
        <v>138.6055542</v>
      </c>
      <c r="F94" s="0" t="n">
        <v>3</v>
      </c>
      <c r="G94" s="0" t="n">
        <v>32</v>
      </c>
      <c r="H94" s="0" t="n">
        <v>0.0316227766016838</v>
      </c>
      <c r="I94" s="0" t="n">
        <v>-2.3795223236084</v>
      </c>
      <c r="J94" s="3" t="n">
        <f aca="false">(D94-INDEX(Summary!$C:$C,MATCH(B94,Summary!$A:$A,0)))*Summary!$B$9</f>
        <v>0.00392452903934526</v>
      </c>
      <c r="K94" s="3" t="n">
        <f aca="false">(E94-INDEX(Summary!$D:$D,MATCH(B94,Summary!$A:$A,0)))*Summary!$B$9*COS(RADIANS(D94))</f>
        <v>-0.0112629641535781</v>
      </c>
      <c r="L94" s="3" t="n">
        <f aca="false">SQRT(J94^2+K94^2)</f>
        <v>0.0119271241171311</v>
      </c>
    </row>
    <row r="95" customFormat="false" ht="15" hidden="false" customHeight="false" outlineLevel="0" collapsed="false">
      <c r="A95" s="0" t="s">
        <v>14</v>
      </c>
      <c r="B95" s="0" t="s">
        <v>15</v>
      </c>
      <c r="C95" s="0" t="n">
        <v>21.2294730910001</v>
      </c>
      <c r="D95" s="2" t="n">
        <v>-34.9183822</v>
      </c>
      <c r="E95" s="2" t="n">
        <v>138.6055545</v>
      </c>
      <c r="F95" s="0" t="n">
        <v>3</v>
      </c>
      <c r="G95" s="0" t="n">
        <v>31</v>
      </c>
      <c r="H95" s="0" t="n">
        <v>0.01</v>
      </c>
      <c r="I95" s="0" t="n">
        <v>-2.37921667098999</v>
      </c>
      <c r="J95" s="3" t="n">
        <f aca="false">(D95-INDEX(Summary!$C:$C,MATCH(B95,Summary!$A:$A,0)))*Summary!$B$9</f>
        <v>0.00392452903934526</v>
      </c>
      <c r="K95" s="3" t="n">
        <f aca="false">(E95-INDEX(Summary!$D:$D,MATCH(B95,Summary!$A:$A,0)))*Summary!$B$9*COS(RADIANS(D95))</f>
        <v>0.0160899484206276</v>
      </c>
      <c r="L95" s="3" t="n">
        <f aca="false">SQRT(J95^2+K95^2)</f>
        <v>0.0165616535514761</v>
      </c>
    </row>
    <row r="96" customFormat="false" ht="15" hidden="false" customHeight="false" outlineLevel="0" collapsed="false">
      <c r="A96" s="0" t="s">
        <v>14</v>
      </c>
      <c r="B96" s="0" t="s">
        <v>15</v>
      </c>
      <c r="C96" s="0" t="n">
        <v>22.2307455250002</v>
      </c>
      <c r="D96" s="2" t="n">
        <v>-34.9183823</v>
      </c>
      <c r="E96" s="2" t="n">
        <v>138.6055544</v>
      </c>
      <c r="F96" s="0" t="n">
        <v>3</v>
      </c>
      <c r="G96" s="0" t="n">
        <v>31</v>
      </c>
      <c r="H96" s="0" t="n">
        <v>0.0223606797749979</v>
      </c>
      <c r="I96" s="0" t="n">
        <v>-2.37819766998291</v>
      </c>
      <c r="J96" s="3" t="n">
        <f aca="false">(D96-INDEX(Summary!$C:$C,MATCH(B96,Summary!$A:$A,0)))*Summary!$B$9</f>
        <v>-0.00719497030051031</v>
      </c>
      <c r="K96" s="3" t="n">
        <f aca="false">(E96-INDEX(Summary!$D:$D,MATCH(B96,Summary!$A:$A,0)))*Summary!$B$9*COS(RADIANS(D96))</f>
        <v>0.0069723091598051</v>
      </c>
      <c r="L96" s="3" t="n">
        <f aca="false">SQRT(J96^2+K96^2)</f>
        <v>0.0100190165507962</v>
      </c>
    </row>
    <row r="97" customFormat="false" ht="15" hidden="false" customHeight="false" outlineLevel="0" collapsed="false">
      <c r="A97" s="0" t="s">
        <v>14</v>
      </c>
      <c r="B97" s="0" t="s">
        <v>15</v>
      </c>
      <c r="C97" s="0" t="n">
        <v>23.2320758850001</v>
      </c>
      <c r="D97" s="2" t="n">
        <v>-34.9183824</v>
      </c>
      <c r="E97" s="2" t="n">
        <v>138.6055545</v>
      </c>
      <c r="F97" s="0" t="n">
        <v>3</v>
      </c>
      <c r="G97" s="0" t="n">
        <v>31</v>
      </c>
      <c r="H97" s="0" t="n">
        <v>0.0223606797749979</v>
      </c>
      <c r="I97" s="0" t="n">
        <v>-2.37942361831665</v>
      </c>
      <c r="J97" s="3" t="n">
        <f aca="false">(D97-INDEX(Summary!$C:$C,MATCH(B97,Summary!$A:$A,0)))*Summary!$B$9</f>
        <v>-0.0183144704304539</v>
      </c>
      <c r="K97" s="3" t="n">
        <f aca="false">(E97-INDEX(Summary!$D:$D,MATCH(B97,Summary!$A:$A,0)))*Summary!$B$9*COS(RADIANS(D97))</f>
        <v>0.0160899483814199</v>
      </c>
      <c r="L97" s="3" t="n">
        <f aca="false">SQRT(J97^2+K97^2)</f>
        <v>0.0243783975286467</v>
      </c>
    </row>
    <row r="98" customFormat="false" ht="15" hidden="false" customHeight="false" outlineLevel="0" collapsed="false">
      <c r="A98" s="0" t="s">
        <v>14</v>
      </c>
      <c r="B98" s="0" t="s">
        <v>15</v>
      </c>
      <c r="C98" s="0" t="n">
        <v>24.233735429</v>
      </c>
      <c r="D98" s="2" t="n">
        <v>-34.9183824</v>
      </c>
      <c r="E98" s="2" t="n">
        <v>138.6055547</v>
      </c>
      <c r="F98" s="0" t="n">
        <v>3</v>
      </c>
      <c r="G98" s="0" t="n">
        <v>31</v>
      </c>
      <c r="H98" s="0" t="n">
        <v>0.02</v>
      </c>
      <c r="I98" s="0" t="n">
        <v>-2.38022351264954</v>
      </c>
      <c r="J98" s="3" t="n">
        <f aca="false">(D98-INDEX(Summary!$C:$C,MATCH(B98,Summary!$A:$A,0)))*Summary!$B$9</f>
        <v>-0.0183144704304539</v>
      </c>
      <c r="K98" s="3" t="n">
        <f aca="false">(E98-INDEX(Summary!$D:$D,MATCH(B98,Summary!$A:$A,0)))*Summary!$B$9*COS(RADIANS(D98))</f>
        <v>0.0343252216588627</v>
      </c>
      <c r="L98" s="3" t="n">
        <f aca="false">SQRT(J98^2+K98^2)</f>
        <v>0.0389055351984525</v>
      </c>
    </row>
    <row r="99" customFormat="false" ht="15" hidden="false" customHeight="false" outlineLevel="0" collapsed="false">
      <c r="A99" s="0" t="s">
        <v>14</v>
      </c>
      <c r="B99" s="0" t="s">
        <v>15</v>
      </c>
      <c r="C99" s="0" t="n">
        <v>25.2351204930001</v>
      </c>
      <c r="D99" s="2" t="n">
        <v>-34.9183824</v>
      </c>
      <c r="E99" s="2" t="n">
        <v>138.6055549</v>
      </c>
      <c r="F99" s="0" t="n">
        <v>3</v>
      </c>
      <c r="G99" s="0" t="n">
        <v>31</v>
      </c>
      <c r="H99" s="0" t="n">
        <v>0.0223606797749979</v>
      </c>
      <c r="I99" s="0" t="n">
        <v>-2.38084363937378</v>
      </c>
      <c r="J99" s="3" t="n">
        <f aca="false">(D99-INDEX(Summary!$C:$C,MATCH(B99,Summary!$A:$A,0)))*Summary!$B$9</f>
        <v>-0.0183144704304539</v>
      </c>
      <c r="K99" s="3" t="n">
        <f aca="false">(E99-INDEX(Summary!$D:$D,MATCH(B99,Summary!$A:$A,0)))*Summary!$B$9*COS(RADIANS(D99))</f>
        <v>0.0525604949363056</v>
      </c>
      <c r="L99" s="3" t="n">
        <f aca="false">SQRT(J99^2+K99^2)</f>
        <v>0.0556599088671314</v>
      </c>
    </row>
    <row r="100" customFormat="false" ht="15" hidden="false" customHeight="false" outlineLevel="0" collapsed="false">
      <c r="A100" s="0" t="s">
        <v>14</v>
      </c>
      <c r="B100" s="0" t="s">
        <v>15</v>
      </c>
      <c r="C100" s="0" t="n">
        <v>26.2364345010001</v>
      </c>
      <c r="D100" s="2" t="n">
        <v>-34.9183826</v>
      </c>
      <c r="E100" s="2" t="n">
        <v>138.6055547</v>
      </c>
      <c r="F100" s="0" t="n">
        <v>3</v>
      </c>
      <c r="G100" s="0" t="n">
        <v>31</v>
      </c>
      <c r="H100" s="0" t="n">
        <v>0.0223606797749979</v>
      </c>
      <c r="I100" s="0" t="n">
        <v>-2.38046383857727</v>
      </c>
      <c r="J100" s="3" t="n">
        <f aca="false">(D100-INDEX(Summary!$C:$C,MATCH(B100,Summary!$A:$A,0)))*Summary!$B$9</f>
        <v>-0.040553470690341</v>
      </c>
      <c r="K100" s="3" t="n">
        <f aca="false">(E100-INDEX(Summary!$D:$D,MATCH(B100,Summary!$A:$A,0)))*Summary!$B$9*COS(RADIANS(D100))</f>
        <v>0.0343252215752196</v>
      </c>
      <c r="L100" s="3" t="n">
        <f aca="false">SQRT(J100^2+K100^2)</f>
        <v>0.053130074545593</v>
      </c>
    </row>
    <row r="101" customFormat="false" ht="15" hidden="false" customHeight="false" outlineLevel="0" collapsed="false">
      <c r="A101" s="0" t="s">
        <v>14</v>
      </c>
      <c r="B101" s="0" t="s">
        <v>15</v>
      </c>
      <c r="C101" s="0" t="n">
        <v>27.2378413050001</v>
      </c>
      <c r="D101" s="2" t="n">
        <v>-34.9183824</v>
      </c>
      <c r="E101" s="2" t="n">
        <v>138.6055546</v>
      </c>
      <c r="F101" s="0" t="n">
        <v>3</v>
      </c>
      <c r="G101" s="0" t="n">
        <v>30</v>
      </c>
      <c r="H101" s="0" t="n">
        <v>0.01</v>
      </c>
      <c r="I101" s="0" t="n">
        <v>-2.38015556335449</v>
      </c>
      <c r="J101" s="3" t="n">
        <f aca="false">(D101-INDEX(Summary!$C:$C,MATCH(B101,Summary!$A:$A,0)))*Summary!$B$9</f>
        <v>-0.0183144704304539</v>
      </c>
      <c r="K101" s="3" t="n">
        <f aca="false">(E101-INDEX(Summary!$D:$D,MATCH(B101,Summary!$A:$A,0)))*Summary!$B$9*COS(RADIANS(D101))</f>
        <v>0.0252075850201413</v>
      </c>
      <c r="L101" s="3" t="n">
        <f aca="false">SQRT(J101^2+K101^2)</f>
        <v>0.0311583402910942</v>
      </c>
    </row>
    <row r="102" customFormat="false" ht="15" hidden="false" customHeight="false" outlineLevel="0" collapsed="false">
      <c r="A102" s="0" t="s">
        <v>14</v>
      </c>
      <c r="B102" s="0" t="s">
        <v>15</v>
      </c>
      <c r="C102" s="0" t="n">
        <v>28.2392348870001</v>
      </c>
      <c r="D102" s="2" t="n">
        <v>-34.9183825</v>
      </c>
      <c r="E102" s="2" t="n">
        <v>138.6055546</v>
      </c>
      <c r="F102" s="0" t="n">
        <v>3</v>
      </c>
      <c r="G102" s="0" t="n">
        <v>31</v>
      </c>
      <c r="H102" s="0" t="n">
        <v>0.0282842712474619</v>
      </c>
      <c r="I102" s="0" t="n">
        <v>-2.38203597068787</v>
      </c>
      <c r="J102" s="3" t="n">
        <f aca="false">(D102-INDEX(Summary!$C:$C,MATCH(B102,Summary!$A:$A,0)))*Summary!$B$9</f>
        <v>-0.0294339705603974</v>
      </c>
      <c r="K102" s="3" t="n">
        <f aca="false">(E102-INDEX(Summary!$D:$D,MATCH(B102,Summary!$A:$A,0)))*Summary!$B$9*COS(RADIANS(D102))</f>
        <v>0.0252075849894286</v>
      </c>
      <c r="L102" s="3" t="n">
        <f aca="false">SQRT(J102^2+K102^2)</f>
        <v>0.038752818787149</v>
      </c>
    </row>
    <row r="103" customFormat="false" ht="15" hidden="false" customHeight="false" outlineLevel="0" collapsed="false">
      <c r="A103" s="0" t="s">
        <v>14</v>
      </c>
      <c r="B103" s="0" t="s">
        <v>15</v>
      </c>
      <c r="C103" s="0" t="n">
        <v>29.240513728</v>
      </c>
      <c r="D103" s="2" t="n">
        <v>-34.9183822</v>
      </c>
      <c r="E103" s="2" t="n">
        <v>138.6055547</v>
      </c>
      <c r="F103" s="0" t="n">
        <v>3</v>
      </c>
      <c r="G103" s="0" t="n">
        <v>31</v>
      </c>
      <c r="H103" s="0" t="n">
        <v>0.014142135623731</v>
      </c>
      <c r="I103" s="0" t="n">
        <v>-2.3802342414856</v>
      </c>
      <c r="J103" s="3" t="n">
        <f aca="false">(D103-INDEX(Summary!$C:$C,MATCH(B103,Summary!$A:$A,0)))*Summary!$B$9</f>
        <v>0.00392452903934526</v>
      </c>
      <c r="K103" s="3" t="n">
        <f aca="false">(E103-INDEX(Summary!$D:$D,MATCH(B103,Summary!$A:$A,0)))*Summary!$B$9*COS(RADIANS(D103))</f>
        <v>0.0343252217425058</v>
      </c>
      <c r="L103" s="3" t="n">
        <f aca="false">SQRT(J103^2+K103^2)</f>
        <v>0.034548846230415</v>
      </c>
    </row>
    <row r="104" customFormat="false" ht="15" hidden="false" customHeight="false" outlineLevel="0" collapsed="false">
      <c r="A104" s="0" t="s">
        <v>14</v>
      </c>
      <c r="B104" s="0" t="s">
        <v>15</v>
      </c>
      <c r="C104" s="0" t="n">
        <v>30.241945254</v>
      </c>
      <c r="D104" s="2" t="n">
        <v>-34.9183818</v>
      </c>
      <c r="E104" s="2" t="n">
        <v>138.6055548</v>
      </c>
      <c r="F104" s="0" t="n">
        <v>3</v>
      </c>
      <c r="G104" s="0" t="n">
        <v>29</v>
      </c>
      <c r="H104" s="0" t="n">
        <v>0.0316227766016838</v>
      </c>
      <c r="I104" s="0" t="n">
        <v>-2.37873649597168</v>
      </c>
      <c r="J104" s="3" t="n">
        <f aca="false">(D104-INDEX(Summary!$C:$C,MATCH(B104,Summary!$A:$A,0)))*Summary!$B$9</f>
        <v>0.0484025295591195</v>
      </c>
      <c r="K104" s="3" t="n">
        <f aca="false">(E104-INDEX(Summary!$D:$D,MATCH(B104,Summary!$A:$A,0)))*Summary!$B$9*COS(RADIANS(D104))</f>
        <v>0.0434428586151665</v>
      </c>
      <c r="L104" s="3" t="n">
        <f aca="false">SQRT(J104^2+K104^2)</f>
        <v>0.0650391177091048</v>
      </c>
    </row>
    <row r="105" customFormat="false" ht="15" hidden="false" customHeight="false" outlineLevel="0" collapsed="false">
      <c r="A105" s="0" t="s">
        <v>14</v>
      </c>
      <c r="B105" s="0" t="s">
        <v>15</v>
      </c>
      <c r="C105" s="0" t="n">
        <v>31.243228947</v>
      </c>
      <c r="D105" s="2" t="n">
        <v>-34.9183816</v>
      </c>
      <c r="E105" s="2" t="n">
        <v>138.605555</v>
      </c>
      <c r="F105" s="0" t="n">
        <v>3</v>
      </c>
      <c r="G105" s="0" t="n">
        <v>30</v>
      </c>
      <c r="H105" s="0" t="n">
        <v>0.02</v>
      </c>
      <c r="I105" s="0" t="n">
        <v>-2.37860631942749</v>
      </c>
      <c r="J105" s="3" t="n">
        <f aca="false">(D105-INDEX(Summary!$C:$C,MATCH(B105,Summary!$A:$A,0)))*Summary!$B$9</f>
        <v>0.0706415298190066</v>
      </c>
      <c r="K105" s="3" t="n">
        <f aca="false">(E105-INDEX(Summary!$D:$D,MATCH(B105,Summary!$A:$A,0)))*Summary!$B$9*COS(RADIANS(D105))</f>
        <v>0.0616781347676001</v>
      </c>
      <c r="L105" s="3" t="n">
        <f aca="false">SQRT(J105^2+K105^2)</f>
        <v>0.0937785585492753</v>
      </c>
    </row>
    <row r="106" customFormat="false" ht="15" hidden="false" customHeight="false" outlineLevel="0" collapsed="false">
      <c r="A106" s="0" t="s">
        <v>14</v>
      </c>
      <c r="B106" s="0" t="s">
        <v>15</v>
      </c>
      <c r="C106" s="0" t="n">
        <v>32.2446317140002</v>
      </c>
      <c r="D106" s="2" t="n">
        <v>-34.9183815</v>
      </c>
      <c r="E106" s="2" t="n">
        <v>138.6055549</v>
      </c>
      <c r="F106" s="0" t="n">
        <v>3</v>
      </c>
      <c r="G106" s="0" t="n">
        <v>29</v>
      </c>
      <c r="H106" s="0" t="n">
        <v>0.0282842712474619</v>
      </c>
      <c r="I106" s="0" t="n">
        <v>-2.37865662574768</v>
      </c>
      <c r="J106" s="3" t="n">
        <f aca="false">(D106-INDEX(Summary!$C:$C,MATCH(B106,Summary!$A:$A,0)))*Summary!$B$9</f>
        <v>0.0817610291588622</v>
      </c>
      <c r="K106" s="3" t="n">
        <f aca="false">(E106-INDEX(Summary!$D:$D,MATCH(B106,Summary!$A:$A,0)))*Summary!$B$9*COS(RADIANS(D106))</f>
        <v>0.0525604955126588</v>
      </c>
      <c r="L106" s="3" t="n">
        <f aca="false">SQRT(J106^2+K106^2)</f>
        <v>0.0971981048048394</v>
      </c>
    </row>
    <row r="107" customFormat="false" ht="15" hidden="false" customHeight="false" outlineLevel="0" collapsed="false">
      <c r="A107" s="0" t="s">
        <v>14</v>
      </c>
      <c r="B107" s="0" t="s">
        <v>15</v>
      </c>
      <c r="C107" s="0" t="n">
        <v>33.2459810560001</v>
      </c>
      <c r="D107" s="2" t="n">
        <v>-34.9183817</v>
      </c>
      <c r="E107" s="2" t="n">
        <v>138.605555</v>
      </c>
      <c r="F107" s="0" t="n">
        <v>3</v>
      </c>
      <c r="G107" s="0" t="n">
        <v>30</v>
      </c>
      <c r="H107" s="0" t="n">
        <v>0.0447213595499958</v>
      </c>
      <c r="I107" s="0" t="n">
        <v>-2.37811708450317</v>
      </c>
      <c r="J107" s="3" t="n">
        <f aca="false">(D107-INDEX(Summary!$C:$C,MATCH(B107,Summary!$A:$A,0)))*Summary!$B$9</f>
        <v>0.0595220296890631</v>
      </c>
      <c r="K107" s="3" t="n">
        <f aca="false">(E107-INDEX(Summary!$D:$D,MATCH(B107,Summary!$A:$A,0)))*Summary!$B$9*COS(RADIANS(D107))</f>
        <v>0.061678134692452</v>
      </c>
      <c r="L107" s="3" t="n">
        <f aca="false">SQRT(J107^2+K107^2)</f>
        <v>0.0857150180391159</v>
      </c>
    </row>
    <row r="108" customFormat="false" ht="15" hidden="false" customHeight="false" outlineLevel="0" collapsed="false">
      <c r="A108" s="0" t="s">
        <v>14</v>
      </c>
      <c r="B108" s="0" t="s">
        <v>15</v>
      </c>
      <c r="C108" s="0" t="n">
        <v>34.2472718790002</v>
      </c>
      <c r="D108" s="2" t="n">
        <v>-34.9183815</v>
      </c>
      <c r="E108" s="2" t="n">
        <v>138.6055551</v>
      </c>
      <c r="F108" s="0" t="n">
        <v>3</v>
      </c>
      <c r="G108" s="0" t="n">
        <v>28</v>
      </c>
      <c r="H108" s="0" t="n">
        <v>0.0608276253029822</v>
      </c>
      <c r="I108" s="0" t="n">
        <v>-2.37828707695007</v>
      </c>
      <c r="J108" s="3" t="n">
        <f aca="false">(D108-INDEX(Summary!$C:$C,MATCH(B108,Summary!$A:$A,0)))*Summary!$B$9</f>
        <v>0.0817610291588622</v>
      </c>
      <c r="K108" s="3" t="n">
        <f aca="false">(E108-INDEX(Summary!$D:$D,MATCH(B108,Summary!$A:$A,0)))*Summary!$B$9*COS(RADIANS(D108))</f>
        <v>0.0707957715814493</v>
      </c>
      <c r="L108" s="3" t="n">
        <f aca="false">SQRT(J108^2+K108^2)</f>
        <v>0.108152240674565</v>
      </c>
    </row>
    <row r="109" customFormat="false" ht="15" hidden="false" customHeight="false" outlineLevel="0" collapsed="false">
      <c r="A109" s="0" t="s">
        <v>16</v>
      </c>
      <c r="B109" s="0" t="s">
        <v>17</v>
      </c>
      <c r="C109" s="0" t="n">
        <v>1.32887349599992</v>
      </c>
      <c r="D109" s="2" t="n">
        <v>-34.9183856</v>
      </c>
      <c r="E109" s="2" t="n">
        <v>138.6055492</v>
      </c>
      <c r="F109" s="0" t="n">
        <v>3</v>
      </c>
      <c r="G109" s="0" t="n">
        <v>32</v>
      </c>
      <c r="H109" s="0" t="n">
        <v>0</v>
      </c>
      <c r="I109" s="0" t="n">
        <v>-2.13918876647949</v>
      </c>
      <c r="J109" s="3" t="n">
        <f aca="false">(D109-INDEX(Summary!$C:$C,MATCH(B109,Summary!$A:$A,0)))*Summary!$B$9</f>
        <v>-0.115773617326873</v>
      </c>
      <c r="K109" s="3" t="n">
        <f aca="false">(E109-INDEX(Summary!$D:$D,MATCH(B109,Summary!$A:$A,0)))*Summary!$B$9*COS(RADIANS(D109))</f>
        <v>0.124965259076178</v>
      </c>
      <c r="L109" s="3" t="n">
        <f aca="false">SQRT(J109^2+K109^2)</f>
        <v>0.170352124861786</v>
      </c>
    </row>
    <row r="110" customFormat="false" ht="15" hidden="false" customHeight="false" outlineLevel="0" collapsed="false">
      <c r="A110" s="0" t="s">
        <v>16</v>
      </c>
      <c r="B110" s="0" t="s">
        <v>17</v>
      </c>
      <c r="C110" s="0" t="n">
        <v>2.33102592799992</v>
      </c>
      <c r="D110" s="2" t="n">
        <v>-34.9183853</v>
      </c>
      <c r="E110" s="2" t="n">
        <v>138.6055489</v>
      </c>
      <c r="F110" s="0" t="n">
        <v>3</v>
      </c>
      <c r="G110" s="0" t="n">
        <v>32</v>
      </c>
      <c r="H110" s="0" t="n">
        <v>0</v>
      </c>
      <c r="I110" s="0" t="n">
        <v>-2.13889598846436</v>
      </c>
      <c r="J110" s="3" t="n">
        <f aca="false">(D110-INDEX(Summary!$C:$C,MATCH(B110,Summary!$A:$A,0)))*Summary!$B$9</f>
        <v>-0.0824151169370424</v>
      </c>
      <c r="K110" s="3" t="n">
        <f aca="false">(E110-INDEX(Summary!$D:$D,MATCH(B110,Summary!$A:$A,0)))*Summary!$B$9*COS(RADIANS(D110))</f>
        <v>0.0976123479918656</v>
      </c>
      <c r="L110" s="3" t="n">
        <f aca="false">SQRT(J110^2+K110^2)</f>
        <v>0.12775140695989</v>
      </c>
    </row>
    <row r="111" customFormat="false" ht="15" hidden="false" customHeight="false" outlineLevel="0" collapsed="false">
      <c r="A111" s="0" t="s">
        <v>16</v>
      </c>
      <c r="B111" s="0" t="s">
        <v>17</v>
      </c>
      <c r="C111" s="0" t="n">
        <v>3.3326804899998</v>
      </c>
      <c r="D111" s="2" t="n">
        <v>-34.918385</v>
      </c>
      <c r="E111" s="2" t="n">
        <v>138.6055487</v>
      </c>
      <c r="F111" s="0" t="n">
        <v>3</v>
      </c>
      <c r="G111" s="0" t="n">
        <v>32</v>
      </c>
      <c r="H111" s="0" t="n">
        <v>0.01</v>
      </c>
      <c r="I111" s="0" t="n">
        <v>-2.13924026489258</v>
      </c>
      <c r="J111" s="3" t="n">
        <f aca="false">(D111-INDEX(Summary!$C:$C,MATCH(B111,Summary!$A:$A,0)))*Summary!$B$9</f>
        <v>-0.0490566173372997</v>
      </c>
      <c r="K111" s="3" t="n">
        <f aca="false">(E111-INDEX(Summary!$D:$D,MATCH(B111,Summary!$A:$A,0)))*Summary!$B$9*COS(RADIANS(D111))</f>
        <v>0.079377075648873</v>
      </c>
      <c r="L111" s="3" t="n">
        <f aca="false">SQRT(J111^2+K111^2)</f>
        <v>0.0933127635596822</v>
      </c>
    </row>
    <row r="112" customFormat="false" ht="15" hidden="false" customHeight="false" outlineLevel="0" collapsed="false">
      <c r="A112" s="0" t="s">
        <v>16</v>
      </c>
      <c r="B112" s="0" t="s">
        <v>17</v>
      </c>
      <c r="C112" s="0" t="n">
        <v>4.33415714599983</v>
      </c>
      <c r="D112" s="2" t="n">
        <v>-34.9183847</v>
      </c>
      <c r="E112" s="2" t="n">
        <v>138.6055484</v>
      </c>
      <c r="F112" s="0" t="n">
        <v>3</v>
      </c>
      <c r="G112" s="0" t="n">
        <v>32</v>
      </c>
      <c r="H112" s="0" t="n">
        <v>0</v>
      </c>
      <c r="I112" s="0" t="n">
        <v>-2.13909339904785</v>
      </c>
      <c r="J112" s="3" t="n">
        <f aca="false">(D112-INDEX(Summary!$C:$C,MATCH(B112,Summary!$A:$A,0)))*Summary!$B$9</f>
        <v>-0.015698116947469</v>
      </c>
      <c r="K112" s="3" t="n">
        <f aca="false">(E112-INDEX(Summary!$D:$D,MATCH(B112,Summary!$A:$A,0)))*Summary!$B$9*COS(RADIANS(D112))</f>
        <v>0.052024164197968</v>
      </c>
      <c r="L112" s="3" t="n">
        <f aca="false">SQRT(J112^2+K112^2)</f>
        <v>0.0543410023480755</v>
      </c>
    </row>
    <row r="113" customFormat="false" ht="15" hidden="false" customHeight="false" outlineLevel="0" collapsed="false">
      <c r="A113" s="0" t="s">
        <v>16</v>
      </c>
      <c r="B113" s="0" t="s">
        <v>17</v>
      </c>
      <c r="C113" s="0" t="n">
        <v>5.3357741719999</v>
      </c>
      <c r="D113" s="2" t="n">
        <v>-34.9183845</v>
      </c>
      <c r="E113" s="2" t="n">
        <v>138.6055483</v>
      </c>
      <c r="F113" s="0" t="n">
        <v>3</v>
      </c>
      <c r="G113" s="0" t="n">
        <v>32</v>
      </c>
      <c r="H113" s="0" t="n">
        <v>0</v>
      </c>
      <c r="I113" s="0" t="n">
        <v>-2.13913798332214</v>
      </c>
      <c r="J113" s="3" t="n">
        <f aca="false">(D113-INDEX(Summary!$C:$C,MATCH(B113,Summary!$A:$A,0)))*Summary!$B$9</f>
        <v>0.00654088252233009</v>
      </c>
      <c r="K113" s="3" t="n">
        <f aca="false">(E113-INDEX(Summary!$D:$D,MATCH(B113,Summary!$A:$A,0)))*Summary!$B$9*COS(RADIANS(D113))</f>
        <v>0.0429065279193039</v>
      </c>
      <c r="L113" s="3" t="n">
        <f aca="false">SQRT(J113^2+K113^2)</f>
        <v>0.0434022266970363</v>
      </c>
    </row>
    <row r="114" customFormat="false" ht="15" hidden="false" customHeight="false" outlineLevel="0" collapsed="false">
      <c r="A114" s="0" t="s">
        <v>16</v>
      </c>
      <c r="B114" s="0" t="s">
        <v>17</v>
      </c>
      <c r="C114" s="0" t="n">
        <v>6.33723114199984</v>
      </c>
      <c r="D114" s="2" t="n">
        <v>-34.9183842</v>
      </c>
      <c r="E114" s="2" t="n">
        <v>138.6055479</v>
      </c>
      <c r="F114" s="0" t="n">
        <v>3</v>
      </c>
      <c r="G114" s="0" t="n">
        <v>32</v>
      </c>
      <c r="H114" s="0" t="n">
        <v>0</v>
      </c>
      <c r="I114" s="0" t="n">
        <v>-2.13917255401611</v>
      </c>
      <c r="J114" s="3" t="n">
        <f aca="false">(D114-INDEX(Summary!$C:$C,MATCH(B114,Summary!$A:$A,0)))*Summary!$B$9</f>
        <v>0.0398993829121608</v>
      </c>
      <c r="K114" s="3" t="n">
        <f aca="false">(E114-INDEX(Summary!$D:$D,MATCH(B114,Summary!$A:$A,0)))*Summary!$B$9*COS(RADIANS(D114))</f>
        <v>0.00643597972969787</v>
      </c>
      <c r="L114" s="3" t="n">
        <f aca="false">SQRT(J114^2+K114^2)</f>
        <v>0.0404151282548047</v>
      </c>
    </row>
    <row r="115" customFormat="false" ht="15" hidden="false" customHeight="false" outlineLevel="0" collapsed="false">
      <c r="A115" s="0" t="s">
        <v>16</v>
      </c>
      <c r="B115" s="0" t="s">
        <v>17</v>
      </c>
      <c r="C115" s="0" t="n">
        <v>7.33860922399981</v>
      </c>
      <c r="D115" s="2" t="n">
        <v>-34.9183841</v>
      </c>
      <c r="E115" s="2" t="n">
        <v>138.6055478</v>
      </c>
      <c r="F115" s="0" t="n">
        <v>3</v>
      </c>
      <c r="G115" s="0" t="n">
        <v>32</v>
      </c>
      <c r="H115" s="0" t="n">
        <v>0</v>
      </c>
      <c r="I115" s="0" t="n">
        <v>-2.13932108879089</v>
      </c>
      <c r="J115" s="3" t="n">
        <f aca="false">(D115-INDEX(Summary!$C:$C,MATCH(B115,Summary!$A:$A,0)))*Summary!$B$9</f>
        <v>0.0510188830421043</v>
      </c>
      <c r="K115" s="3" t="n">
        <f aca="false">(E115-INDEX(Summary!$D:$D,MATCH(B115,Summary!$A:$A,0)))*Summary!$B$9*COS(RADIANS(D115))</f>
        <v>-0.00268165671233159</v>
      </c>
      <c r="L115" s="3" t="n">
        <f aca="false">SQRT(J115^2+K115^2)</f>
        <v>0.0510893111089464</v>
      </c>
    </row>
    <row r="116" customFormat="false" ht="15" hidden="false" customHeight="false" outlineLevel="0" collapsed="false">
      <c r="A116" s="0" t="s">
        <v>16</v>
      </c>
      <c r="B116" s="0" t="s">
        <v>17</v>
      </c>
      <c r="C116" s="0" t="n">
        <v>8.33998895399986</v>
      </c>
      <c r="D116" s="2" t="n">
        <v>-34.9183842</v>
      </c>
      <c r="E116" s="2" t="n">
        <v>138.6055478</v>
      </c>
      <c r="F116" s="0" t="n">
        <v>3</v>
      </c>
      <c r="G116" s="0" t="n">
        <v>32</v>
      </c>
      <c r="H116" s="0" t="n">
        <v>0.01</v>
      </c>
      <c r="I116" s="0" t="n">
        <v>-2.13951444625855</v>
      </c>
      <c r="J116" s="3" t="n">
        <f aca="false">(D116-INDEX(Summary!$C:$C,MATCH(B116,Summary!$A:$A,0)))*Summary!$B$9</f>
        <v>0.0398993829121608</v>
      </c>
      <c r="K116" s="3" t="n">
        <f aca="false">(E116-INDEX(Summary!$D:$D,MATCH(B116,Summary!$A:$A,0)))*Summary!$B$9*COS(RADIANS(D116))</f>
        <v>-0.00268165670906428</v>
      </c>
      <c r="L116" s="3" t="n">
        <f aca="false">SQRT(J116^2+K116^2)</f>
        <v>0.0399893990887147</v>
      </c>
    </row>
    <row r="117" customFormat="false" ht="15" hidden="false" customHeight="false" outlineLevel="0" collapsed="false">
      <c r="A117" s="0" t="s">
        <v>16</v>
      </c>
      <c r="B117" s="0" t="s">
        <v>17</v>
      </c>
      <c r="C117" s="0" t="n">
        <v>9.34154075799984</v>
      </c>
      <c r="D117" s="2" t="n">
        <v>-34.9183841</v>
      </c>
      <c r="E117" s="2" t="n">
        <v>138.6055475</v>
      </c>
      <c r="F117" s="0" t="n">
        <v>3</v>
      </c>
      <c r="G117" s="0" t="n">
        <v>32</v>
      </c>
      <c r="H117" s="0" t="n">
        <v>0.01</v>
      </c>
      <c r="I117" s="0" t="n">
        <v>-2.13936710357666</v>
      </c>
      <c r="J117" s="3" t="n">
        <f aca="false">(D117-INDEX(Summary!$C:$C,MATCH(B117,Summary!$A:$A,0)))*Summary!$B$9</f>
        <v>0.0510188830421043</v>
      </c>
      <c r="K117" s="3" t="n">
        <f aca="false">(E117-INDEX(Summary!$D:$D,MATCH(B117,Summary!$A:$A,0)))*Summary!$B$9*COS(RADIANS(D117))</f>
        <v>-0.0300345686533329</v>
      </c>
      <c r="L117" s="3" t="n">
        <f aca="false">SQRT(J117^2+K117^2)</f>
        <v>0.0592030551665679</v>
      </c>
    </row>
    <row r="118" customFormat="false" ht="15" hidden="false" customHeight="false" outlineLevel="0" collapsed="false">
      <c r="A118" s="0" t="s">
        <v>16</v>
      </c>
      <c r="B118" s="0" t="s">
        <v>17</v>
      </c>
      <c r="C118" s="0" t="n">
        <v>10.3430729869999</v>
      </c>
      <c r="D118" s="2" t="n">
        <v>-34.9183841</v>
      </c>
      <c r="E118" s="2" t="n">
        <v>138.6055473</v>
      </c>
      <c r="F118" s="0" t="n">
        <v>3</v>
      </c>
      <c r="G118" s="0" t="n">
        <v>31</v>
      </c>
      <c r="H118" s="0" t="n">
        <v>0.01</v>
      </c>
      <c r="I118" s="0" t="n">
        <v>-2.1393518447876</v>
      </c>
      <c r="J118" s="3" t="n">
        <f aca="false">(D118-INDEX(Summary!$C:$C,MATCH(B118,Summary!$A:$A,0)))*Summary!$B$9</f>
        <v>0.0510188830421043</v>
      </c>
      <c r="K118" s="3" t="n">
        <f aca="false">(E118-INDEX(Summary!$D:$D,MATCH(B118,Summary!$A:$A,0)))*Summary!$B$9*COS(RADIANS(D118))</f>
        <v>-0.0482698415530749</v>
      </c>
      <c r="L118" s="3" t="n">
        <f aca="false">SQRT(J118^2+K118^2)</f>
        <v>0.0702346355470211</v>
      </c>
    </row>
    <row r="119" customFormat="false" ht="15" hidden="false" customHeight="false" outlineLevel="0" collapsed="false">
      <c r="A119" s="0" t="s">
        <v>16</v>
      </c>
      <c r="B119" s="0" t="s">
        <v>17</v>
      </c>
      <c r="C119" s="0" t="n">
        <v>11.3446113099999</v>
      </c>
      <c r="D119" s="2" t="n">
        <v>-34.9183843</v>
      </c>
      <c r="E119" s="2" t="n">
        <v>138.6055472</v>
      </c>
      <c r="F119" s="0" t="n">
        <v>3</v>
      </c>
      <c r="G119" s="0" t="n">
        <v>32</v>
      </c>
      <c r="H119" s="0" t="n">
        <v>0.02</v>
      </c>
      <c r="I119" s="0" t="n">
        <v>-2.13945770263672</v>
      </c>
      <c r="J119" s="3" t="n">
        <f aca="false">(D119-INDEX(Summary!$C:$C,MATCH(B119,Summary!$A:$A,0)))*Summary!$B$9</f>
        <v>0.0287798827822172</v>
      </c>
      <c r="K119" s="3" t="n">
        <f aca="false">(E119-INDEX(Summary!$D:$D,MATCH(B119,Summary!$A:$A,0)))*Summary!$B$9*COS(RADIANS(D119))</f>
        <v>-0.0573874804544934</v>
      </c>
      <c r="L119" s="3" t="n">
        <f aca="false">SQRT(J119^2+K119^2)</f>
        <v>0.0641997240326858</v>
      </c>
    </row>
    <row r="120" customFormat="false" ht="15" hidden="false" customHeight="false" outlineLevel="0" collapsed="false">
      <c r="A120" s="0" t="s">
        <v>16</v>
      </c>
      <c r="B120" s="0" t="s">
        <v>17</v>
      </c>
      <c r="C120" s="0" t="n">
        <v>12.3461327989999</v>
      </c>
      <c r="D120" s="2" t="n">
        <v>-34.9183843</v>
      </c>
      <c r="E120" s="2" t="n">
        <v>138.6055472</v>
      </c>
      <c r="F120" s="0" t="n">
        <v>3</v>
      </c>
      <c r="G120" s="0" t="n">
        <v>32</v>
      </c>
      <c r="H120" s="0" t="n">
        <v>0.01</v>
      </c>
      <c r="I120" s="0" t="n">
        <v>-2.13965344429016</v>
      </c>
      <c r="J120" s="3" t="n">
        <f aca="false">(D120-INDEX(Summary!$C:$C,MATCH(B120,Summary!$A:$A,0)))*Summary!$B$9</f>
        <v>0.0287798827822172</v>
      </c>
      <c r="K120" s="3" t="n">
        <f aca="false">(E120-INDEX(Summary!$D:$D,MATCH(B120,Summary!$A:$A,0)))*Summary!$B$9*COS(RADIANS(D120))</f>
        <v>-0.0573874804544934</v>
      </c>
      <c r="L120" s="3" t="n">
        <f aca="false">SQRT(J120^2+K120^2)</f>
        <v>0.0641997240326858</v>
      </c>
    </row>
    <row r="121" customFormat="false" ht="15" hidden="false" customHeight="false" outlineLevel="0" collapsed="false">
      <c r="A121" s="0" t="s">
        <v>16</v>
      </c>
      <c r="B121" s="0" t="s">
        <v>17</v>
      </c>
      <c r="C121" s="0" t="n">
        <v>13.347449807</v>
      </c>
      <c r="D121" s="2" t="n">
        <v>-34.9183844</v>
      </c>
      <c r="E121" s="2" t="n">
        <v>138.6055471</v>
      </c>
      <c r="F121" s="0" t="n">
        <v>3</v>
      </c>
      <c r="G121" s="0" t="n">
        <v>32</v>
      </c>
      <c r="H121" s="0" t="n">
        <v>0</v>
      </c>
      <c r="I121" s="0" t="n">
        <v>-2.13980174064636</v>
      </c>
      <c r="J121" s="3" t="n">
        <f aca="false">(D121-INDEX(Summary!$C:$C,MATCH(B121,Summary!$A:$A,0)))*Summary!$B$9</f>
        <v>0.0176603826522737</v>
      </c>
      <c r="K121" s="3" t="n">
        <f aca="false">(E121-INDEX(Summary!$D:$D,MATCH(B121,Summary!$A:$A,0)))*Summary!$B$9*COS(RADIANS(D121))</f>
        <v>-0.0665051168011174</v>
      </c>
      <c r="L121" s="3" t="n">
        <f aca="false">SQRT(J121^2+K121^2)</f>
        <v>0.0688100259857166</v>
      </c>
    </row>
    <row r="122" customFormat="false" ht="15" hidden="false" customHeight="false" outlineLevel="0" collapsed="false">
      <c r="A122" s="0" t="s">
        <v>16</v>
      </c>
      <c r="B122" s="0" t="s">
        <v>17</v>
      </c>
      <c r="C122" s="0" t="n">
        <v>14.348736685</v>
      </c>
      <c r="D122" s="2" t="n">
        <v>-34.9183845</v>
      </c>
      <c r="E122" s="2" t="n">
        <v>138.6055473</v>
      </c>
      <c r="F122" s="0" t="n">
        <v>3</v>
      </c>
      <c r="G122" s="0" t="n">
        <v>32</v>
      </c>
      <c r="H122" s="0" t="n">
        <v>0</v>
      </c>
      <c r="I122" s="0" t="n">
        <v>-2.139728307724</v>
      </c>
      <c r="J122" s="3" t="n">
        <f aca="false">(D122-INDEX(Summary!$C:$C,MATCH(B122,Summary!$A:$A,0)))*Summary!$B$9</f>
        <v>0.00654088252233009</v>
      </c>
      <c r="K122" s="3" t="n">
        <f aca="false">(E122-INDEX(Summary!$D:$D,MATCH(B122,Summary!$A:$A,0)))*Summary!$B$9*COS(RADIANS(D122))</f>
        <v>-0.0482698413178287</v>
      </c>
      <c r="L122" s="3" t="n">
        <f aca="false">SQRT(J122^2+K122^2)</f>
        <v>0.0487109918295582</v>
      </c>
    </row>
    <row r="123" customFormat="false" ht="15" hidden="false" customHeight="false" outlineLevel="0" collapsed="false">
      <c r="A123" s="0" t="s">
        <v>16</v>
      </c>
      <c r="B123" s="0" t="s">
        <v>17</v>
      </c>
      <c r="C123" s="0" t="n">
        <v>15.3499812299999</v>
      </c>
      <c r="D123" s="2" t="n">
        <v>-34.9183847</v>
      </c>
      <c r="E123" s="2" t="n">
        <v>138.6055473</v>
      </c>
      <c r="F123" s="0" t="n">
        <v>3</v>
      </c>
      <c r="G123" s="0" t="n">
        <v>31</v>
      </c>
      <c r="H123" s="0" t="n">
        <v>0.01</v>
      </c>
      <c r="I123" s="0" t="n">
        <v>-2.13962578773499</v>
      </c>
      <c r="J123" s="3" t="n">
        <f aca="false">(D123-INDEX(Summary!$C:$C,MATCH(B123,Summary!$A:$A,0)))*Summary!$B$9</f>
        <v>-0.015698116947469</v>
      </c>
      <c r="K123" s="3" t="n">
        <f aca="false">(E123-INDEX(Summary!$D:$D,MATCH(B123,Summary!$A:$A,0)))*Summary!$B$9*COS(RADIANS(D123))</f>
        <v>-0.0482698412002056</v>
      </c>
      <c r="L123" s="3" t="n">
        <f aca="false">SQRT(J123^2+K123^2)</f>
        <v>0.050758333751114</v>
      </c>
    </row>
    <row r="124" customFormat="false" ht="15" hidden="false" customHeight="false" outlineLevel="0" collapsed="false">
      <c r="A124" s="0" t="s">
        <v>16</v>
      </c>
      <c r="B124" s="0" t="s">
        <v>17</v>
      </c>
      <c r="C124" s="0" t="n">
        <v>16.3511904239999</v>
      </c>
      <c r="D124" s="2" t="n">
        <v>-34.9183848</v>
      </c>
      <c r="E124" s="2" t="n">
        <v>138.6055476</v>
      </c>
      <c r="F124" s="0" t="n">
        <v>3</v>
      </c>
      <c r="G124" s="0" t="n">
        <v>31</v>
      </c>
      <c r="H124" s="0" t="n">
        <v>0.0223606797749979</v>
      </c>
      <c r="I124" s="0" t="n">
        <v>-2.14002752304077</v>
      </c>
      <c r="J124" s="3" t="n">
        <f aca="false">(D124-INDEX(Summary!$C:$C,MATCH(B124,Summary!$A:$A,0)))*Summary!$B$9</f>
        <v>-0.0268176170774126</v>
      </c>
      <c r="K124" s="3" t="n">
        <f aca="false">(E124-INDEX(Summary!$D:$D,MATCH(B124,Summary!$A:$A,0)))*Summary!$B$9*COS(RADIANS(D124))</f>
        <v>-0.0209169320250668</v>
      </c>
      <c r="L124" s="3" t="n">
        <f aca="false">SQRT(J124^2+K124^2)</f>
        <v>0.0340103312399629</v>
      </c>
    </row>
    <row r="125" customFormat="false" ht="15" hidden="false" customHeight="false" outlineLevel="0" collapsed="false">
      <c r="A125" s="0" t="s">
        <v>16</v>
      </c>
      <c r="B125" s="0" t="s">
        <v>17</v>
      </c>
      <c r="C125" s="0" t="n">
        <v>17.3525033579999</v>
      </c>
      <c r="D125" s="2" t="n">
        <v>-34.9183847</v>
      </c>
      <c r="E125" s="2" t="n">
        <v>138.6055476</v>
      </c>
      <c r="F125" s="0" t="n">
        <v>3</v>
      </c>
      <c r="G125" s="0" t="n">
        <v>32</v>
      </c>
      <c r="H125" s="0" t="n">
        <v>0.0509901951359279</v>
      </c>
      <c r="I125" s="0" t="n">
        <v>-2.15010070800781</v>
      </c>
      <c r="J125" s="3" t="n">
        <f aca="false">(D125-INDEX(Summary!$C:$C,MATCH(B125,Summary!$A:$A,0)))*Summary!$B$9</f>
        <v>-0.015698116947469</v>
      </c>
      <c r="K125" s="3" t="n">
        <f aca="false">(E125-INDEX(Summary!$D:$D,MATCH(B125,Summary!$A:$A,0)))*Summary!$B$9*COS(RADIANS(D125))</f>
        <v>-0.0209169320505518</v>
      </c>
      <c r="L125" s="3" t="n">
        <f aca="false">SQRT(J125^2+K125^2)</f>
        <v>0.0261524171369267</v>
      </c>
    </row>
    <row r="126" customFormat="false" ht="15" hidden="false" customHeight="false" outlineLevel="0" collapsed="false">
      <c r="A126" s="0" t="s">
        <v>16</v>
      </c>
      <c r="B126" s="0" t="s">
        <v>18</v>
      </c>
      <c r="C126" s="0" t="n">
        <v>66.4222047169999</v>
      </c>
      <c r="D126" s="2" t="n">
        <v>-34.9183321</v>
      </c>
      <c r="E126" s="2" t="n">
        <v>138.6055088</v>
      </c>
      <c r="F126" s="0" t="n">
        <v>3</v>
      </c>
      <c r="G126" s="0" t="n">
        <v>32</v>
      </c>
      <c r="H126" s="0" t="n">
        <v>0.0640312423743285</v>
      </c>
      <c r="I126" s="0" t="n">
        <v>-2.17056822776794</v>
      </c>
      <c r="J126" s="3" t="n">
        <f aca="false">(D126-INDEX(Summary!$C:$C,MATCH(B126,Summary!$A:$A,0)))*Summary!$B$9</f>
        <v>0.376651000237942</v>
      </c>
      <c r="K126" s="3" t="n">
        <f aca="false">(E126-INDEX(Summary!$D:$D,MATCH(B126,Summary!$A:$A,0)))*Summary!$B$9*COS(RADIANS(D126))</f>
        <v>0.528968004176913</v>
      </c>
      <c r="L126" s="3" t="n">
        <f aca="false">SQRT(J126^2+K126^2)</f>
        <v>0.649363631121384</v>
      </c>
    </row>
    <row r="127" customFormat="false" ht="15" hidden="false" customHeight="false" outlineLevel="0" collapsed="false">
      <c r="A127" s="0" t="s">
        <v>16</v>
      </c>
      <c r="B127" s="0" t="s">
        <v>18</v>
      </c>
      <c r="C127" s="0" t="n">
        <v>67.4238833529998</v>
      </c>
      <c r="D127" s="2" t="n">
        <v>-34.9183329</v>
      </c>
      <c r="E127" s="2" t="n">
        <v>138.6055083</v>
      </c>
      <c r="F127" s="0" t="n">
        <v>3</v>
      </c>
      <c r="G127" s="0" t="n">
        <v>32</v>
      </c>
      <c r="H127" s="0" t="n">
        <v>0.0447213595499958</v>
      </c>
      <c r="I127" s="0" t="n">
        <v>-2.1673595905304</v>
      </c>
      <c r="J127" s="3" t="n">
        <f aca="false">(D127-INDEX(Summary!$C:$C,MATCH(B127,Summary!$A:$A,0)))*Summary!$B$9</f>
        <v>0.287694999988481</v>
      </c>
      <c r="K127" s="3" t="n">
        <f aca="false">(E127-INDEX(Summary!$D:$D,MATCH(B127,Summary!$A:$A,0)))*Summary!$B$9*COS(RADIANS(D127))</f>
        <v>0.483379785741623</v>
      </c>
      <c r="L127" s="3" t="n">
        <f aca="false">SQRT(J127^2+K127^2)</f>
        <v>0.562516160018527</v>
      </c>
    </row>
    <row r="128" customFormat="false" ht="15" hidden="false" customHeight="false" outlineLevel="0" collapsed="false">
      <c r="A128" s="0" t="s">
        <v>16</v>
      </c>
      <c r="B128" s="0" t="s">
        <v>18</v>
      </c>
      <c r="C128" s="0" t="n">
        <v>68.4252351949999</v>
      </c>
      <c r="D128" s="2" t="n">
        <v>-34.9183331</v>
      </c>
      <c r="E128" s="2" t="n">
        <v>138.6055083</v>
      </c>
      <c r="F128" s="0" t="n">
        <v>3</v>
      </c>
      <c r="G128" s="0" t="n">
        <v>31</v>
      </c>
      <c r="H128" s="0" t="n">
        <v>0.03</v>
      </c>
      <c r="I128" s="0" t="n">
        <v>-2.16405415534973</v>
      </c>
      <c r="J128" s="3" t="n">
        <f aca="false">(D128-INDEX(Summary!$C:$C,MATCH(B128,Summary!$A:$A,0)))*Summary!$B$9</f>
        <v>0.265456000518682</v>
      </c>
      <c r="K128" s="3" t="n">
        <f aca="false">(E128-INDEX(Summary!$D:$D,MATCH(B128,Summary!$A:$A,0)))*Summary!$B$9*COS(RADIANS(D128))</f>
        <v>0.483379784563734</v>
      </c>
      <c r="L128" s="3" t="n">
        <f aca="false">SQRT(J128^2+K128^2)</f>
        <v>0.551473394042048</v>
      </c>
    </row>
    <row r="129" customFormat="false" ht="15" hidden="false" customHeight="false" outlineLevel="0" collapsed="false">
      <c r="A129" s="0" t="s">
        <v>16</v>
      </c>
      <c r="B129" s="0" t="s">
        <v>18</v>
      </c>
      <c r="C129" s="0" t="n">
        <v>69.4265471839999</v>
      </c>
      <c r="D129" s="2" t="n">
        <v>-34.9183334</v>
      </c>
      <c r="E129" s="2" t="n">
        <v>138.6055082</v>
      </c>
      <c r="F129" s="0" t="n">
        <v>3</v>
      </c>
      <c r="G129" s="0" t="n">
        <v>32</v>
      </c>
      <c r="H129" s="0" t="n">
        <v>0.0223606797749979</v>
      </c>
      <c r="I129" s="0" t="n">
        <v>-2.16128373146057</v>
      </c>
      <c r="J129" s="3" t="n">
        <f aca="false">(D129-INDEX(Summary!$C:$C,MATCH(B129,Summary!$A:$A,0)))*Summary!$B$9</f>
        <v>0.232097500128852</v>
      </c>
      <c r="K129" s="3" t="n">
        <f aca="false">(E129-INDEX(Summary!$D:$D,MATCH(B129,Summary!$A:$A,0)))*Summary!$B$9*COS(RADIANS(D129))</f>
        <v>0.474262140714846</v>
      </c>
      <c r="L129" s="3" t="n">
        <f aca="false">SQRT(J129^2+K129^2)</f>
        <v>0.528009306434547</v>
      </c>
    </row>
    <row r="130" customFormat="false" ht="15" hidden="false" customHeight="false" outlineLevel="0" collapsed="false">
      <c r="A130" s="0" t="s">
        <v>16</v>
      </c>
      <c r="B130" s="0" t="s">
        <v>18</v>
      </c>
      <c r="C130" s="0" t="n">
        <v>70.428036673</v>
      </c>
      <c r="D130" s="2" t="n">
        <v>-34.9183337</v>
      </c>
      <c r="E130" s="2" t="n">
        <v>138.6055081</v>
      </c>
      <c r="F130" s="0" t="n">
        <v>3</v>
      </c>
      <c r="G130" s="0" t="n">
        <v>32</v>
      </c>
      <c r="H130" s="0" t="n">
        <v>0.0316227766016838</v>
      </c>
      <c r="I130" s="0" t="n">
        <v>-2.15872192382813</v>
      </c>
      <c r="J130" s="3" t="n">
        <f aca="false">(D130-INDEX(Summary!$C:$C,MATCH(B130,Summary!$A:$A,0)))*Summary!$B$9</f>
        <v>0.198739000529109</v>
      </c>
      <c r="K130" s="3" t="n">
        <f aca="false">(E130-INDEX(Summary!$D:$D,MATCH(B130,Summary!$A:$A,0)))*Summary!$B$9*COS(RADIANS(D130))</f>
        <v>0.465144496932612</v>
      </c>
      <c r="L130" s="3" t="n">
        <f aca="false">SQRT(J130^2+K130^2)</f>
        <v>0.505822689643319</v>
      </c>
    </row>
    <row r="131" customFormat="false" ht="15" hidden="false" customHeight="false" outlineLevel="0" collapsed="false">
      <c r="A131" s="0" t="s">
        <v>16</v>
      </c>
      <c r="B131" s="0" t="s">
        <v>18</v>
      </c>
      <c r="C131" s="0" t="n">
        <v>71.4294550509999</v>
      </c>
      <c r="D131" s="2" t="n">
        <v>-34.918334</v>
      </c>
      <c r="E131" s="2" t="n">
        <v>138.6055079</v>
      </c>
      <c r="F131" s="0" t="n">
        <v>3</v>
      </c>
      <c r="G131" s="0" t="n">
        <v>32</v>
      </c>
      <c r="H131" s="0" t="n">
        <v>0.04</v>
      </c>
      <c r="I131" s="0" t="n">
        <v>-2.15679740905762</v>
      </c>
      <c r="J131" s="3" t="n">
        <f aca="false">(D131-INDEX(Summary!$C:$C,MATCH(B131,Summary!$A:$A,0)))*Summary!$B$9</f>
        <v>0.165380500139278</v>
      </c>
      <c r="K131" s="3" t="n">
        <f aca="false">(E131-INDEX(Summary!$D:$D,MATCH(B131,Summary!$A:$A,0)))*Summary!$B$9*COS(RADIANS(D131))</f>
        <v>0.446909208610239</v>
      </c>
      <c r="L131" s="3" t="n">
        <f aca="false">SQRT(J131^2+K131^2)</f>
        <v>0.476527596857672</v>
      </c>
    </row>
    <row r="132" customFormat="false" ht="15" hidden="false" customHeight="false" outlineLevel="0" collapsed="false">
      <c r="A132" s="0" t="s">
        <v>16</v>
      </c>
      <c r="B132" s="0" t="s">
        <v>18</v>
      </c>
      <c r="C132" s="0" t="n">
        <v>72.4309921879999</v>
      </c>
      <c r="D132" s="2" t="n">
        <v>-34.9183343</v>
      </c>
      <c r="E132" s="2" t="n">
        <v>138.6055079</v>
      </c>
      <c r="F132" s="0" t="n">
        <v>3</v>
      </c>
      <c r="G132" s="0" t="n">
        <v>31</v>
      </c>
      <c r="H132" s="0" t="n">
        <v>0.05</v>
      </c>
      <c r="I132" s="0" t="n">
        <v>-2.15536737442017</v>
      </c>
      <c r="J132" s="3" t="n">
        <f aca="false">(D132-INDEX(Summary!$C:$C,MATCH(B132,Summary!$A:$A,0)))*Summary!$B$9</f>
        <v>0.132022000539536</v>
      </c>
      <c r="K132" s="3" t="n">
        <f aca="false">(E132-INDEX(Summary!$D:$D,MATCH(B132,Summary!$A:$A,0)))*Summary!$B$9*COS(RADIANS(D132))</f>
        <v>0.446909206976712</v>
      </c>
      <c r="L132" s="3" t="n">
        <f aca="false">SQRT(J132^2+K132^2)</f>
        <v>0.466001768137219</v>
      </c>
    </row>
    <row r="133" customFormat="false" ht="15" hidden="false" customHeight="false" outlineLevel="0" collapsed="false">
      <c r="A133" s="0" t="s">
        <v>16</v>
      </c>
      <c r="B133" s="0" t="s">
        <v>18</v>
      </c>
      <c r="C133" s="0" t="n">
        <v>73.432468085</v>
      </c>
      <c r="D133" s="2" t="n">
        <v>-34.9183342</v>
      </c>
      <c r="E133" s="2" t="n">
        <v>138.6055079</v>
      </c>
      <c r="F133" s="0" t="n">
        <v>3</v>
      </c>
      <c r="G133" s="0" t="n">
        <v>25</v>
      </c>
      <c r="H133" s="0" t="n">
        <v>0.0509901951359279</v>
      </c>
      <c r="I133" s="0" t="n">
        <v>-2.15424656867981</v>
      </c>
      <c r="J133" s="3" t="n">
        <f aca="false">(D133-INDEX(Summary!$C:$C,MATCH(B133,Summary!$A:$A,0)))*Summary!$B$9</f>
        <v>0.143141500669479</v>
      </c>
      <c r="K133" s="3" t="n">
        <f aca="false">(E133-INDEX(Summary!$D:$D,MATCH(B133,Summary!$A:$A,0)))*Summary!$B$9*COS(RADIANS(D133))</f>
        <v>0.446909207521221</v>
      </c>
      <c r="L133" s="3" t="n">
        <f aca="false">SQRT(J133^2+K133^2)</f>
        <v>0.469273192267741</v>
      </c>
    </row>
    <row r="134" customFormat="false" ht="15" hidden="false" customHeight="false" outlineLevel="0" collapsed="false">
      <c r="A134" s="0" t="s">
        <v>16</v>
      </c>
      <c r="B134" s="0" t="s">
        <v>18</v>
      </c>
      <c r="C134" s="0" t="n">
        <v>74.4339672029998</v>
      </c>
      <c r="D134" s="2" t="n">
        <v>-34.9183343</v>
      </c>
      <c r="E134" s="2" t="n">
        <v>138.605508</v>
      </c>
      <c r="F134" s="0" t="n">
        <v>3</v>
      </c>
      <c r="G134" s="0" t="n">
        <v>25</v>
      </c>
      <c r="H134" s="0" t="n">
        <v>0.0447213595499958</v>
      </c>
      <c r="I134" s="0" t="n">
        <v>-2.15325307846069</v>
      </c>
      <c r="J134" s="3" t="n">
        <f aca="false">(D134-INDEX(Summary!$C:$C,MATCH(B134,Summary!$A:$A,0)))*Summary!$B$9</f>
        <v>0.132022000539536</v>
      </c>
      <c r="K134" s="3" t="n">
        <f aca="false">(E134-INDEX(Summary!$D:$D,MATCH(B134,Summary!$A:$A,0)))*Summary!$B$9*COS(RADIANS(D134))</f>
        <v>0.456026848958786</v>
      </c>
      <c r="L134" s="3" t="n">
        <f aca="false">SQRT(J134^2+K134^2)</f>
        <v>0.474752878451243</v>
      </c>
    </row>
    <row r="135" customFormat="false" ht="15" hidden="false" customHeight="false" outlineLevel="0" collapsed="false">
      <c r="A135" s="0" t="s">
        <v>16</v>
      </c>
      <c r="B135" s="0" t="s">
        <v>18</v>
      </c>
      <c r="C135" s="0" t="n">
        <v>75.4354756179998</v>
      </c>
      <c r="D135" s="2" t="n">
        <v>-34.9183343</v>
      </c>
      <c r="E135" s="2" t="n">
        <v>138.605508</v>
      </c>
      <c r="F135" s="0" t="n">
        <v>3</v>
      </c>
      <c r="G135" s="0" t="n">
        <v>25</v>
      </c>
      <c r="H135" s="0" t="n">
        <v>0.058309518948453</v>
      </c>
      <c r="I135" s="0" t="n">
        <v>-2.15193223953247</v>
      </c>
      <c r="J135" s="3" t="n">
        <f aca="false">(D135-INDEX(Summary!$C:$C,MATCH(B135,Summary!$A:$A,0)))*Summary!$B$9</f>
        <v>0.132022000539536</v>
      </c>
      <c r="K135" s="3" t="n">
        <f aca="false">(E135-INDEX(Summary!$D:$D,MATCH(B135,Summary!$A:$A,0)))*Summary!$B$9*COS(RADIANS(D135))</f>
        <v>0.456026848958786</v>
      </c>
      <c r="L135" s="3" t="n">
        <f aca="false">SQRT(J135^2+K135^2)</f>
        <v>0.474752878451243</v>
      </c>
    </row>
    <row r="136" customFormat="false" ht="15" hidden="false" customHeight="false" outlineLevel="0" collapsed="false">
      <c r="A136" s="0" t="s">
        <v>16</v>
      </c>
      <c r="B136" s="0" t="s">
        <v>18</v>
      </c>
      <c r="C136" s="0" t="n">
        <v>76.4376768089999</v>
      </c>
      <c r="D136" s="2" t="n">
        <v>-34.9183346</v>
      </c>
      <c r="E136" s="2" t="n">
        <v>138.6055081</v>
      </c>
      <c r="F136" s="0" t="n">
        <v>3</v>
      </c>
      <c r="G136" s="0" t="n">
        <v>25</v>
      </c>
      <c r="H136" s="0" t="n">
        <v>0.058309518948453</v>
      </c>
      <c r="I136" s="0" t="n">
        <v>-2.1504065990448</v>
      </c>
      <c r="J136" s="3" t="n">
        <f aca="false">(D136-INDEX(Summary!$C:$C,MATCH(B136,Summary!$A:$A,0)))*Summary!$B$9</f>
        <v>0.0986635001497049</v>
      </c>
      <c r="K136" s="3" t="n">
        <f aca="false">(E136-INDEX(Summary!$D:$D,MATCH(B136,Summary!$A:$A,0)))*Summary!$B$9*COS(RADIANS(D136))</f>
        <v>0.465144491832069</v>
      </c>
      <c r="L136" s="3" t="n">
        <f aca="false">SQRT(J136^2+K136^2)</f>
        <v>0.475493306518088</v>
      </c>
    </row>
    <row r="137" customFormat="false" ht="15" hidden="false" customHeight="false" outlineLevel="0" collapsed="false">
      <c r="A137" s="0" t="s">
        <v>16</v>
      </c>
      <c r="B137" s="0" t="s">
        <v>18</v>
      </c>
      <c r="C137" s="0" t="n">
        <v>77.4392031499999</v>
      </c>
      <c r="D137" s="2" t="n">
        <v>-34.9183346</v>
      </c>
      <c r="E137" s="2" t="n">
        <v>138.605508</v>
      </c>
      <c r="F137" s="0" t="n">
        <v>3</v>
      </c>
      <c r="G137" s="0" t="n">
        <v>24</v>
      </c>
      <c r="H137" s="0" t="n">
        <v>0.05</v>
      </c>
      <c r="I137" s="0" t="n">
        <v>-2.14928364753723</v>
      </c>
      <c r="J137" s="3" t="n">
        <f aca="false">(D137-INDEX(Summary!$C:$C,MATCH(B137,Summary!$A:$A,0)))*Summary!$B$9</f>
        <v>0.0986635001497049</v>
      </c>
      <c r="K137" s="3" t="n">
        <f aca="false">(E137-INDEX(Summary!$D:$D,MATCH(B137,Summary!$A:$A,0)))*Summary!$B$9*COS(RADIANS(D137))</f>
        <v>0.456026847291932</v>
      </c>
      <c r="L137" s="3" t="n">
        <f aca="false">SQRT(J137^2+K137^2)</f>
        <v>0.46657793744755</v>
      </c>
    </row>
    <row r="138" customFormat="false" ht="15" hidden="false" customHeight="false" outlineLevel="0" collapsed="false">
      <c r="A138" s="0" t="s">
        <v>16</v>
      </c>
      <c r="B138" s="0" t="s">
        <v>18</v>
      </c>
      <c r="C138" s="0" t="n">
        <v>78.4407191569999</v>
      </c>
      <c r="D138" s="2" t="n">
        <v>-34.9183346</v>
      </c>
      <c r="E138" s="2" t="n">
        <v>138.605508</v>
      </c>
      <c r="F138" s="0" t="n">
        <v>3</v>
      </c>
      <c r="G138" s="0" t="n">
        <v>24</v>
      </c>
      <c r="H138" s="0" t="n">
        <v>0.05</v>
      </c>
      <c r="I138" s="0" t="n">
        <v>-2.14785122871399</v>
      </c>
      <c r="J138" s="3" t="n">
        <f aca="false">(D138-INDEX(Summary!$C:$C,MATCH(B138,Summary!$A:$A,0)))*Summary!$B$9</f>
        <v>0.0986635001497049</v>
      </c>
      <c r="K138" s="3" t="n">
        <f aca="false">(E138-INDEX(Summary!$D:$D,MATCH(B138,Summary!$A:$A,0)))*Summary!$B$9*COS(RADIANS(D138))</f>
        <v>0.456026847291932</v>
      </c>
      <c r="L138" s="3" t="n">
        <f aca="false">SQRT(J138^2+K138^2)</f>
        <v>0.46657793744755</v>
      </c>
    </row>
    <row r="139" customFormat="false" ht="15" hidden="false" customHeight="false" outlineLevel="0" collapsed="false">
      <c r="A139" s="0" t="s">
        <v>16</v>
      </c>
      <c r="B139" s="0" t="s">
        <v>18</v>
      </c>
      <c r="C139" s="0" t="n">
        <v>79.4421137949998</v>
      </c>
      <c r="D139" s="2" t="n">
        <v>-34.9183347</v>
      </c>
      <c r="E139" s="2" t="n">
        <v>138.6055079</v>
      </c>
      <c r="F139" s="0" t="n">
        <v>3</v>
      </c>
      <c r="G139" s="0" t="n">
        <v>24</v>
      </c>
      <c r="H139" s="0" t="n">
        <v>0.0360555127546399</v>
      </c>
      <c r="I139" s="0" t="n">
        <v>-2.14660239219666</v>
      </c>
      <c r="J139" s="3" t="n">
        <f aca="false">(D139-INDEX(Summary!$C:$C,MATCH(B139,Summary!$A:$A,0)))*Summary!$B$9</f>
        <v>0.0875440000197614</v>
      </c>
      <c r="K139" s="3" t="n">
        <f aca="false">(E139-INDEX(Summary!$D:$D,MATCH(B139,Summary!$A:$A,0)))*Summary!$B$9*COS(RADIANS(D139))</f>
        <v>0.446909204798674</v>
      </c>
      <c r="L139" s="3" t="n">
        <f aca="false">SQRT(J139^2+K139^2)</f>
        <v>0.455402886764284</v>
      </c>
    </row>
    <row r="140" customFormat="false" ht="15" hidden="false" customHeight="false" outlineLevel="0" collapsed="false">
      <c r="A140" s="0" t="s">
        <v>16</v>
      </c>
      <c r="B140" s="0" t="s">
        <v>18</v>
      </c>
      <c r="C140" s="0" t="n">
        <v>80.4438174309998</v>
      </c>
      <c r="D140" s="2" t="n">
        <v>-34.9183346</v>
      </c>
      <c r="E140" s="2" t="n">
        <v>138.6055078</v>
      </c>
      <c r="F140" s="0" t="n">
        <v>3</v>
      </c>
      <c r="G140" s="0" t="n">
        <v>24</v>
      </c>
      <c r="H140" s="0" t="n">
        <v>0.0223606797749979</v>
      </c>
      <c r="I140" s="0" t="n">
        <v>-2.14519906044006</v>
      </c>
      <c r="J140" s="3" t="n">
        <f aca="false">(D140-INDEX(Summary!$C:$C,MATCH(B140,Summary!$A:$A,0)))*Summary!$B$9</f>
        <v>0.0986635001497049</v>
      </c>
      <c r="K140" s="3" t="n">
        <f aca="false">(E140-INDEX(Summary!$D:$D,MATCH(B140,Summary!$A:$A,0)))*Summary!$B$9*COS(RADIANS(D140))</f>
        <v>0.437791563394436</v>
      </c>
      <c r="L140" s="3" t="n">
        <f aca="false">SQRT(J140^2+K140^2)</f>
        <v>0.448771589164394</v>
      </c>
    </row>
    <row r="141" customFormat="false" ht="15" hidden="false" customHeight="false" outlineLevel="0" collapsed="false">
      <c r="A141" s="0" t="s">
        <v>16</v>
      </c>
      <c r="B141" s="0" t="s">
        <v>18</v>
      </c>
      <c r="C141" s="0" t="n">
        <v>81.4454394019999</v>
      </c>
      <c r="D141" s="2" t="n">
        <v>-34.9183345</v>
      </c>
      <c r="E141" s="2" t="n">
        <v>138.6055079</v>
      </c>
      <c r="F141" s="0" t="n">
        <v>3</v>
      </c>
      <c r="G141" s="0" t="n">
        <v>32</v>
      </c>
      <c r="H141" s="0" t="n">
        <v>0.0223606797749979</v>
      </c>
      <c r="I141" s="0" t="n">
        <v>-2.14365601539612</v>
      </c>
      <c r="J141" s="3" t="n">
        <f aca="false">(D141-INDEX(Summary!$C:$C,MATCH(B141,Summary!$A:$A,0)))*Summary!$B$9</f>
        <v>0.109783000279648</v>
      </c>
      <c r="K141" s="3" t="n">
        <f aca="false">(E141-INDEX(Summary!$D:$D,MATCH(B141,Summary!$A:$A,0)))*Summary!$B$9*COS(RADIANS(D141))</f>
        <v>0.446909205887693</v>
      </c>
      <c r="L141" s="3" t="n">
        <f aca="false">SQRT(J141^2+K141^2)</f>
        <v>0.460195768621974</v>
      </c>
    </row>
    <row r="142" customFormat="false" ht="15" hidden="false" customHeight="false" outlineLevel="0" collapsed="false">
      <c r="A142" s="0" t="s">
        <v>16</v>
      </c>
      <c r="B142" s="0" t="s">
        <v>18</v>
      </c>
      <c r="C142" s="0" t="n">
        <v>82.446956002</v>
      </c>
      <c r="D142" s="2" t="n">
        <v>-34.9183347</v>
      </c>
      <c r="E142" s="2" t="n">
        <v>138.6055078</v>
      </c>
      <c r="F142" s="0" t="n">
        <v>3</v>
      </c>
      <c r="G142" s="0" t="n">
        <v>32</v>
      </c>
      <c r="H142" s="0" t="n">
        <v>0.014142135623731</v>
      </c>
      <c r="I142" s="0" t="n">
        <v>-2.14205956459045</v>
      </c>
      <c r="J142" s="3" t="n">
        <f aca="false">(D142-INDEX(Summary!$C:$C,MATCH(B142,Summary!$A:$A,0)))*Summary!$B$9</f>
        <v>0.0875440000197614</v>
      </c>
      <c r="K142" s="3" t="n">
        <f aca="false">(E142-INDEX(Summary!$D:$D,MATCH(B142,Summary!$A:$A,0)))*Summary!$B$9*COS(RADIANS(D142))</f>
        <v>0.437791562861036</v>
      </c>
      <c r="L142" s="3" t="n">
        <f aca="false">SQRT(J142^2+K142^2)</f>
        <v>0.446458737681063</v>
      </c>
    </row>
    <row r="143" customFormat="false" ht="15" hidden="false" customHeight="false" outlineLevel="0" collapsed="false">
      <c r="A143" s="0" t="s">
        <v>16</v>
      </c>
      <c r="B143" s="0" t="s">
        <v>18</v>
      </c>
      <c r="C143" s="0" t="n">
        <v>83.4484415459999</v>
      </c>
      <c r="D143" s="2" t="n">
        <v>-34.9183348</v>
      </c>
      <c r="E143" s="2" t="n">
        <v>138.6055078</v>
      </c>
      <c r="F143" s="0" t="n">
        <v>3</v>
      </c>
      <c r="G143" s="0" t="n">
        <v>32</v>
      </c>
      <c r="H143" s="0" t="n">
        <v>0.01</v>
      </c>
      <c r="I143" s="0" t="n">
        <v>-2.14044141769409</v>
      </c>
      <c r="J143" s="3" t="n">
        <f aca="false">(D143-INDEX(Summary!$C:$C,MATCH(B143,Summary!$A:$A,0)))*Summary!$B$9</f>
        <v>0.0764245006799058</v>
      </c>
      <c r="K143" s="3" t="n">
        <f aca="false">(E143-INDEX(Summary!$D:$D,MATCH(B143,Summary!$A:$A,0)))*Summary!$B$9*COS(RADIANS(D143))</f>
        <v>0.437791562327635</v>
      </c>
      <c r="L143" s="3" t="n">
        <f aca="false">SQRT(J143^2+K143^2)</f>
        <v>0.444412146941828</v>
      </c>
    </row>
    <row r="144" customFormat="false" ht="15" hidden="false" customHeight="false" outlineLevel="0" collapsed="false">
      <c r="A144" s="0" t="s">
        <v>16</v>
      </c>
      <c r="B144" s="0" t="s">
        <v>18</v>
      </c>
      <c r="C144" s="0" t="n">
        <v>84.449901943</v>
      </c>
      <c r="D144" s="2" t="n">
        <v>-34.918335</v>
      </c>
      <c r="E144" s="2" t="n">
        <v>138.6055078</v>
      </c>
      <c r="F144" s="0" t="n">
        <v>3</v>
      </c>
      <c r="G144" s="0" t="n">
        <v>31</v>
      </c>
      <c r="H144" s="0" t="n">
        <v>0.01</v>
      </c>
      <c r="I144" s="0" t="n">
        <v>-2.13884019851685</v>
      </c>
      <c r="J144" s="3" t="n">
        <f aca="false">(D144-INDEX(Summary!$C:$C,MATCH(B144,Summary!$A:$A,0)))*Summary!$B$9</f>
        <v>0.0541855004200187</v>
      </c>
      <c r="K144" s="3" t="n">
        <f aca="false">(E144-INDEX(Summary!$D:$D,MATCH(B144,Summary!$A:$A,0)))*Summary!$B$9*COS(RADIANS(D144))</f>
        <v>0.437791561260834</v>
      </c>
      <c r="L144" s="3" t="n">
        <f aca="false">SQRT(J144^2+K144^2)</f>
        <v>0.441132088570948</v>
      </c>
    </row>
    <row r="145" customFormat="false" ht="15" hidden="false" customHeight="false" outlineLevel="0" collapsed="false">
      <c r="A145" s="0" t="s">
        <v>16</v>
      </c>
      <c r="B145" s="0" t="s">
        <v>18</v>
      </c>
      <c r="C145" s="0" t="n">
        <v>85.4515624129999</v>
      </c>
      <c r="D145" s="2" t="n">
        <v>-34.918335</v>
      </c>
      <c r="E145" s="2" t="n">
        <v>138.6055077</v>
      </c>
      <c r="F145" s="0" t="n">
        <v>3</v>
      </c>
      <c r="G145" s="0" t="n">
        <v>32</v>
      </c>
      <c r="H145" s="0" t="n">
        <v>0</v>
      </c>
      <c r="I145" s="0" t="n">
        <v>-2.13732552528381</v>
      </c>
      <c r="J145" s="3" t="n">
        <f aca="false">(D145-INDEX(Summary!$C:$C,MATCH(B145,Summary!$A:$A,0)))*Summary!$B$9</f>
        <v>0.0541855004200187</v>
      </c>
      <c r="K145" s="3" t="n">
        <f aca="false">(E145-INDEX(Summary!$D:$D,MATCH(B145,Summary!$A:$A,0)))*Summary!$B$9*COS(RADIANS(D145))</f>
        <v>0.428673919356522</v>
      </c>
      <c r="L145" s="3" t="n">
        <f aca="false">SQRT(J145^2+K145^2)</f>
        <v>0.432084942565984</v>
      </c>
    </row>
    <row r="146" customFormat="false" ht="15" hidden="false" customHeight="false" outlineLevel="0" collapsed="false">
      <c r="A146" s="0" t="s">
        <v>16</v>
      </c>
      <c r="B146" s="0" t="s">
        <v>18</v>
      </c>
      <c r="C146" s="0" t="n">
        <v>86.453029902</v>
      </c>
      <c r="D146" s="2" t="n">
        <v>-34.9183349</v>
      </c>
      <c r="E146" s="2" t="n">
        <v>138.6055075</v>
      </c>
      <c r="F146" s="0" t="n">
        <v>3</v>
      </c>
      <c r="G146" s="0" t="n">
        <v>32</v>
      </c>
      <c r="H146" s="0" t="n">
        <v>0</v>
      </c>
      <c r="I146" s="0" t="n">
        <v>-2.1357147693634</v>
      </c>
      <c r="J146" s="3" t="n">
        <f aca="false">(D146-INDEX(Summary!$C:$C,MATCH(B146,Summary!$A:$A,0)))*Summary!$B$9</f>
        <v>0.0653050005499622</v>
      </c>
      <c r="K146" s="3" t="n">
        <f aca="false">(E146-INDEX(Summary!$D:$D,MATCH(B146,Summary!$A:$A,0)))*Summary!$B$9*COS(RADIANS(D146))</f>
        <v>0.410438633456581</v>
      </c>
      <c r="L146" s="3" t="n">
        <f aca="false">SQRT(J146^2+K146^2)</f>
        <v>0.415601509778942</v>
      </c>
    </row>
    <row r="147" customFormat="false" ht="15" hidden="false" customHeight="false" outlineLevel="0" collapsed="false">
      <c r="A147" s="0" t="s">
        <v>16</v>
      </c>
      <c r="B147" s="0" t="s">
        <v>18</v>
      </c>
      <c r="C147" s="0" t="n">
        <v>87.4543055949998</v>
      </c>
      <c r="D147" s="2" t="n">
        <v>-34.9183346</v>
      </c>
      <c r="E147" s="2" t="n">
        <v>138.6055073</v>
      </c>
      <c r="F147" s="0" t="n">
        <v>3</v>
      </c>
      <c r="G147" s="0" t="n">
        <v>23</v>
      </c>
      <c r="H147" s="0" t="n">
        <v>0</v>
      </c>
      <c r="I147" s="0" t="n">
        <v>-2.13402318954468</v>
      </c>
      <c r="J147" s="3" t="n">
        <f aca="false">(D147-INDEX(Summary!$C:$C,MATCH(B147,Summary!$A:$A,0)))*Summary!$B$9</f>
        <v>0.0986635001497049</v>
      </c>
      <c r="K147" s="3" t="n">
        <f aca="false">(E147-INDEX(Summary!$D:$D,MATCH(B147,Summary!$A:$A,0)))*Summary!$B$9*COS(RADIANS(D147))</f>
        <v>0.392203351059307</v>
      </c>
      <c r="L147" s="3" t="n">
        <f aca="false">SQRT(J147^2+K147^2)</f>
        <v>0.404422990004205</v>
      </c>
    </row>
    <row r="148" customFormat="false" ht="15" hidden="false" customHeight="false" outlineLevel="0" collapsed="false">
      <c r="A148" s="0" t="s">
        <v>16</v>
      </c>
      <c r="B148" s="0" t="s">
        <v>18</v>
      </c>
      <c r="C148" s="0" t="n">
        <v>88.455545714</v>
      </c>
      <c r="D148" s="2" t="n">
        <v>-34.9183345</v>
      </c>
      <c r="E148" s="2" t="n">
        <v>138.6055071</v>
      </c>
      <c r="F148" s="0" t="n">
        <v>3</v>
      </c>
      <c r="G148" s="0" t="n">
        <v>32</v>
      </c>
      <c r="H148" s="0" t="n">
        <v>0.01</v>
      </c>
      <c r="I148" s="0" t="n">
        <v>-2.132483959198</v>
      </c>
      <c r="J148" s="3" t="n">
        <f aca="false">(D148-INDEX(Summary!$C:$C,MATCH(B148,Summary!$A:$A,0)))*Summary!$B$9</f>
        <v>0.109783000279648</v>
      </c>
      <c r="K148" s="3" t="n">
        <f aca="false">(E148-INDEX(Summary!$D:$D,MATCH(B148,Summary!$A:$A,0)))*Summary!$B$9*COS(RADIANS(D148))</f>
        <v>0.373968067617451</v>
      </c>
      <c r="L148" s="3" t="n">
        <f aca="false">SQRT(J148^2+K148^2)</f>
        <v>0.389749179278073</v>
      </c>
    </row>
    <row r="149" customFormat="false" ht="15" hidden="false" customHeight="false" outlineLevel="0" collapsed="false">
      <c r="A149" s="0" t="s">
        <v>16</v>
      </c>
      <c r="B149" s="0" t="s">
        <v>18</v>
      </c>
      <c r="C149" s="0" t="n">
        <v>89.45683113</v>
      </c>
      <c r="D149" s="2" t="n">
        <v>-34.9183343</v>
      </c>
      <c r="E149" s="2" t="n">
        <v>138.6055069</v>
      </c>
      <c r="F149" s="0" t="n">
        <v>3</v>
      </c>
      <c r="G149" s="0" t="n">
        <v>32</v>
      </c>
      <c r="H149" s="0" t="n">
        <v>0.01</v>
      </c>
      <c r="I149" s="0" t="n">
        <v>-2.1306471824646</v>
      </c>
      <c r="J149" s="3" t="n">
        <f aca="false">(D149-INDEX(Summary!$C:$C,MATCH(B149,Summary!$A:$A,0)))*Summary!$B$9</f>
        <v>0.132022000539536</v>
      </c>
      <c r="K149" s="3" t="n">
        <f aca="false">(E149-INDEX(Summary!$D:$D,MATCH(B149,Summary!$A:$A,0)))*Summary!$B$9*COS(RADIANS(D149))</f>
        <v>0.355732781973189</v>
      </c>
      <c r="L149" s="3" t="n">
        <f aca="false">SQRT(J149^2+K149^2)</f>
        <v>0.379441195439881</v>
      </c>
    </row>
    <row r="150" customFormat="false" ht="15" hidden="false" customHeight="false" outlineLevel="0" collapsed="false">
      <c r="A150" s="0" t="s">
        <v>16</v>
      </c>
      <c r="B150" s="0" t="s">
        <v>18</v>
      </c>
      <c r="C150" s="0" t="n">
        <v>90.458088545</v>
      </c>
      <c r="D150" s="2" t="n">
        <v>-34.9183343</v>
      </c>
      <c r="E150" s="2" t="n">
        <v>138.6055069</v>
      </c>
      <c r="F150" s="0" t="n">
        <v>3</v>
      </c>
      <c r="G150" s="0" t="n">
        <v>32</v>
      </c>
      <c r="H150" s="0" t="n">
        <v>0</v>
      </c>
      <c r="I150" s="0" t="n">
        <v>-2.12897825241089</v>
      </c>
      <c r="J150" s="3" t="n">
        <f aca="false">(D150-INDEX(Summary!$C:$C,MATCH(B150,Summary!$A:$A,0)))*Summary!$B$9</f>
        <v>0.132022000539536</v>
      </c>
      <c r="K150" s="3" t="n">
        <f aca="false">(E150-INDEX(Summary!$D:$D,MATCH(B150,Summary!$A:$A,0)))*Summary!$B$9*COS(RADIANS(D150))</f>
        <v>0.355732781973189</v>
      </c>
      <c r="L150" s="3" t="n">
        <f aca="false">SQRT(J150^2+K150^2)</f>
        <v>0.379441195439881</v>
      </c>
    </row>
    <row r="151" customFormat="false" ht="15" hidden="false" customHeight="false" outlineLevel="0" collapsed="false">
      <c r="A151" s="0" t="s">
        <v>16</v>
      </c>
      <c r="B151" s="0" t="s">
        <v>18</v>
      </c>
      <c r="C151" s="0" t="n">
        <v>91.459619664</v>
      </c>
      <c r="D151" s="2" t="n">
        <v>-34.9183343</v>
      </c>
      <c r="E151" s="2" t="n">
        <v>138.6055067</v>
      </c>
      <c r="F151" s="0" t="n">
        <v>3</v>
      </c>
      <c r="G151" s="0" t="n">
        <v>25</v>
      </c>
      <c r="H151" s="0" t="n">
        <v>0</v>
      </c>
      <c r="I151" s="0" t="n">
        <v>-2.12736225128174</v>
      </c>
      <c r="J151" s="3" t="n">
        <f aca="false">(D151-INDEX(Summary!$C:$C,MATCH(B151,Summary!$A:$A,0)))*Summary!$B$9</f>
        <v>0.132022000539536</v>
      </c>
      <c r="K151" s="3" t="n">
        <f aca="false">(E151-INDEX(Summary!$D:$D,MATCH(B151,Summary!$A:$A,0)))*Summary!$B$9*COS(RADIANS(D151))</f>
        <v>0.337497498009041</v>
      </c>
      <c r="L151" s="3" t="n">
        <f aca="false">SQRT(J151^2+K151^2)</f>
        <v>0.362400841319144</v>
      </c>
    </row>
    <row r="152" customFormat="false" ht="15" hidden="false" customHeight="false" outlineLevel="0" collapsed="false">
      <c r="A152" s="0" t="s">
        <v>16</v>
      </c>
      <c r="B152" s="0" t="s">
        <v>18</v>
      </c>
      <c r="C152" s="0" t="n">
        <v>92.4610128749998</v>
      </c>
      <c r="D152" s="2" t="n">
        <v>-34.9183342</v>
      </c>
      <c r="E152" s="2" t="n">
        <v>138.6055065</v>
      </c>
      <c r="F152" s="0" t="n">
        <v>3</v>
      </c>
      <c r="G152" s="0" t="n">
        <v>32</v>
      </c>
      <c r="H152" s="0" t="n">
        <v>0</v>
      </c>
      <c r="I152" s="0" t="n">
        <v>-2.12585473060608</v>
      </c>
      <c r="J152" s="3" t="n">
        <f aca="false">(D152-INDEX(Summary!$C:$C,MATCH(B152,Summary!$A:$A,0)))*Summary!$B$9</f>
        <v>0.143141500669479</v>
      </c>
      <c r="K152" s="3" t="n">
        <f aca="false">(E152-INDEX(Summary!$D:$D,MATCH(B152,Summary!$A:$A,0)))*Summary!$B$9*COS(RADIANS(D152))</f>
        <v>0.319262211842488</v>
      </c>
      <c r="L152" s="3" t="n">
        <f aca="false">SQRT(J152^2+K152^2)</f>
        <v>0.349882621924079</v>
      </c>
    </row>
    <row r="153" customFormat="false" ht="15" hidden="false" customHeight="false" outlineLevel="0" collapsed="false">
      <c r="A153" s="0" t="s">
        <v>16</v>
      </c>
      <c r="B153" s="0" t="s">
        <v>18</v>
      </c>
      <c r="C153" s="0" t="n">
        <v>93.462526457</v>
      </c>
      <c r="D153" s="2" t="n">
        <v>-34.9183341</v>
      </c>
      <c r="E153" s="2" t="n">
        <v>138.6055063</v>
      </c>
      <c r="F153" s="0" t="n">
        <v>3</v>
      </c>
      <c r="G153" s="0" t="n">
        <v>32</v>
      </c>
      <c r="H153" s="0" t="n">
        <v>0</v>
      </c>
      <c r="I153" s="0" t="n">
        <v>-2.12428259849548</v>
      </c>
      <c r="J153" s="3" t="n">
        <f aca="false">(D153-INDEX(Summary!$C:$C,MATCH(B153,Summary!$A:$A,0)))*Summary!$B$9</f>
        <v>0.154261000009335</v>
      </c>
      <c r="K153" s="3" t="n">
        <f aca="false">(E153-INDEX(Summary!$D:$D,MATCH(B153,Summary!$A:$A,0)))*Summary!$B$9*COS(RADIANS(D153))</f>
        <v>0.30102692822289</v>
      </c>
      <c r="L153" s="3" t="n">
        <f aca="false">SQRT(J153^2+K153^2)</f>
        <v>0.338250894513509</v>
      </c>
    </row>
    <row r="154" customFormat="false" ht="15" hidden="false" customHeight="false" outlineLevel="0" collapsed="false">
      <c r="A154" s="0" t="s">
        <v>16</v>
      </c>
      <c r="B154" s="0" t="s">
        <v>18</v>
      </c>
      <c r="C154" s="0" t="n">
        <v>94.4639939829999</v>
      </c>
      <c r="D154" s="2" t="n">
        <v>-34.9183341</v>
      </c>
      <c r="E154" s="2" t="n">
        <v>138.6055063</v>
      </c>
      <c r="F154" s="0" t="n">
        <v>3</v>
      </c>
      <c r="G154" s="0" t="n">
        <v>31</v>
      </c>
      <c r="H154" s="0" t="n">
        <v>0</v>
      </c>
      <c r="I154" s="0" t="n">
        <v>-2.12268757820129</v>
      </c>
      <c r="J154" s="3" t="n">
        <f aca="false">(D154-INDEX(Summary!$C:$C,MATCH(B154,Summary!$A:$A,0)))*Summary!$B$9</f>
        <v>0.154261000009335</v>
      </c>
      <c r="K154" s="3" t="n">
        <f aca="false">(E154-INDEX(Summary!$D:$D,MATCH(B154,Summary!$A:$A,0)))*Summary!$B$9*COS(RADIANS(D154))</f>
        <v>0.30102692822289</v>
      </c>
      <c r="L154" s="3" t="n">
        <f aca="false">SQRT(J154^2+K154^2)</f>
        <v>0.338250894513509</v>
      </c>
    </row>
    <row r="155" customFormat="false" ht="15" hidden="false" customHeight="false" outlineLevel="0" collapsed="false">
      <c r="A155" s="0" t="s">
        <v>16</v>
      </c>
      <c r="B155" s="0" t="s">
        <v>18</v>
      </c>
      <c r="C155" s="0" t="n">
        <v>95.46543662</v>
      </c>
      <c r="D155" s="2" t="n">
        <v>-34.9183342</v>
      </c>
      <c r="E155" s="2" t="n">
        <v>138.6055064</v>
      </c>
      <c r="F155" s="0" t="n">
        <v>3</v>
      </c>
      <c r="G155" s="0" t="n">
        <v>31</v>
      </c>
      <c r="H155" s="0" t="n">
        <v>0.01</v>
      </c>
      <c r="I155" s="0" t="n">
        <v>-2.12120699882507</v>
      </c>
      <c r="J155" s="3" t="n">
        <f aca="false">(D155-INDEX(Summary!$C:$C,MATCH(B155,Summary!$A:$A,0)))*Summary!$B$9</f>
        <v>0.143141500669479</v>
      </c>
      <c r="K155" s="3" t="n">
        <f aca="false">(E155-INDEX(Summary!$D:$D,MATCH(B155,Summary!$A:$A,0)))*Summary!$B$9*COS(RADIANS(D155))</f>
        <v>0.310144569849305</v>
      </c>
      <c r="L155" s="3" t="n">
        <f aca="false">SQRT(J155^2+K155^2)</f>
        <v>0.341583289141786</v>
      </c>
    </row>
    <row r="156" customFormat="false" ht="15" hidden="false" customHeight="false" outlineLevel="0" collapsed="false">
      <c r="A156" s="0" t="s">
        <v>16</v>
      </c>
      <c r="B156" s="0" t="s">
        <v>18</v>
      </c>
      <c r="C156" s="0" t="n">
        <v>96.4669719799999</v>
      </c>
      <c r="D156" s="2" t="n">
        <v>-34.9183342</v>
      </c>
      <c r="E156" s="2" t="n">
        <v>138.6055062</v>
      </c>
      <c r="F156" s="0" t="n">
        <v>3</v>
      </c>
      <c r="G156" s="0" t="n">
        <v>31</v>
      </c>
      <c r="H156" s="0" t="n">
        <v>0.01</v>
      </c>
      <c r="I156" s="0" t="n">
        <v>-2.11971259117127</v>
      </c>
      <c r="J156" s="3" t="n">
        <f aca="false">(D156-INDEX(Summary!$C:$C,MATCH(B156,Summary!$A:$A,0)))*Summary!$B$9</f>
        <v>0.143141500669479</v>
      </c>
      <c r="K156" s="3" t="n">
        <f aca="false">(E156-INDEX(Summary!$D:$D,MATCH(B156,Summary!$A:$A,0)))*Summary!$B$9*COS(RADIANS(D156))</f>
        <v>0.291909285862939</v>
      </c>
      <c r="L156" s="3" t="n">
        <f aca="false">SQRT(J156^2+K156^2)</f>
        <v>0.325116164450372</v>
      </c>
    </row>
    <row r="157" customFormat="false" ht="15" hidden="false" customHeight="false" outlineLevel="0" collapsed="false">
      <c r="A157" s="0" t="s">
        <v>16</v>
      </c>
      <c r="B157" s="0" t="s">
        <v>18</v>
      </c>
      <c r="C157" s="0" t="n">
        <v>97.4683822099999</v>
      </c>
      <c r="D157" s="2" t="n">
        <v>-34.9183343</v>
      </c>
      <c r="E157" s="2" t="n">
        <v>138.6055063</v>
      </c>
      <c r="F157" s="0" t="n">
        <v>3</v>
      </c>
      <c r="G157" s="0" t="n">
        <v>32</v>
      </c>
      <c r="H157" s="0" t="n">
        <v>0.01</v>
      </c>
      <c r="I157" s="0" t="n">
        <v>-2.11829590797424</v>
      </c>
      <c r="J157" s="3" t="n">
        <f aca="false">(D157-INDEX(Summary!$C:$C,MATCH(B157,Summary!$A:$A,0)))*Summary!$B$9</f>
        <v>0.132022000539536</v>
      </c>
      <c r="K157" s="3" t="n">
        <f aca="false">(E157-INDEX(Summary!$D:$D,MATCH(B157,Summary!$A:$A,0)))*Summary!$B$9*COS(RADIANS(D157))</f>
        <v>0.301026927489354</v>
      </c>
      <c r="L157" s="3" t="n">
        <f aca="false">SQRT(J157^2+K157^2)</f>
        <v>0.328705064914038</v>
      </c>
    </row>
    <row r="158" customFormat="false" ht="15" hidden="false" customHeight="false" outlineLevel="0" collapsed="false">
      <c r="A158" s="0" t="s">
        <v>16</v>
      </c>
      <c r="B158" s="0" t="s">
        <v>18</v>
      </c>
      <c r="C158" s="0" t="n">
        <v>98.4697196059999</v>
      </c>
      <c r="D158" s="2" t="n">
        <v>-34.9183341</v>
      </c>
      <c r="E158" s="2" t="n">
        <v>138.605506</v>
      </c>
      <c r="F158" s="0" t="n">
        <v>3</v>
      </c>
      <c r="G158" s="0" t="n">
        <v>32</v>
      </c>
      <c r="H158" s="0" t="n">
        <v>0</v>
      </c>
      <c r="I158" s="0" t="n">
        <v>-2.1169376373291</v>
      </c>
      <c r="J158" s="3" t="n">
        <f aca="false">(D158-INDEX(Summary!$C:$C,MATCH(B158,Summary!$A:$A,0)))*Summary!$B$9</f>
        <v>0.154261000009335</v>
      </c>
      <c r="K158" s="3" t="n">
        <f aca="false">(E158-INDEX(Summary!$D:$D,MATCH(B158,Summary!$A:$A,0)))*Summary!$B$9*COS(RADIANS(D158))</f>
        <v>0.273673999618624</v>
      </c>
      <c r="L158" s="3" t="n">
        <f aca="false">SQRT(J158^2+K158^2)</f>
        <v>0.314155875627267</v>
      </c>
    </row>
    <row r="159" customFormat="false" ht="15" hidden="false" customHeight="false" outlineLevel="0" collapsed="false">
      <c r="A159" s="0" t="s">
        <v>16</v>
      </c>
      <c r="B159" s="0" t="s">
        <v>18</v>
      </c>
      <c r="C159" s="0" t="n">
        <v>99.471009892</v>
      </c>
      <c r="D159" s="2" t="n">
        <v>-34.9183343</v>
      </c>
      <c r="E159" s="2" t="n">
        <v>138.6055059</v>
      </c>
      <c r="F159" s="0" t="n">
        <v>3</v>
      </c>
      <c r="G159" s="0" t="n">
        <v>32</v>
      </c>
      <c r="H159" s="0" t="n">
        <v>0.02</v>
      </c>
      <c r="I159" s="0" t="n">
        <v>-2.11545443534851</v>
      </c>
      <c r="J159" s="3" t="n">
        <f aca="false">(D159-INDEX(Summary!$C:$C,MATCH(B159,Summary!$A:$A,0)))*Summary!$B$9</f>
        <v>0.132022000539536</v>
      </c>
      <c r="K159" s="3" t="n">
        <f aca="false">(E159-INDEX(Summary!$D:$D,MATCH(B159,Summary!$A:$A,0)))*Summary!$B$9*COS(RADIANS(D159))</f>
        <v>0.264556356969667</v>
      </c>
      <c r="L159" s="3" t="n">
        <f aca="false">SQRT(J159^2+K159^2)</f>
        <v>0.295668521556697</v>
      </c>
    </row>
    <row r="160" customFormat="false" ht="15" hidden="false" customHeight="false" outlineLevel="0" collapsed="false">
      <c r="A160" s="0" t="s">
        <v>16</v>
      </c>
      <c r="B160" s="0" t="s">
        <v>18</v>
      </c>
      <c r="C160" s="0" t="n">
        <v>100.472270771</v>
      </c>
      <c r="D160" s="2" t="n">
        <v>-34.9183347</v>
      </c>
      <c r="E160" s="2" t="n">
        <v>138.6055061</v>
      </c>
      <c r="F160" s="0" t="n">
        <v>3</v>
      </c>
      <c r="G160" s="0" t="n">
        <v>32</v>
      </c>
      <c r="H160" s="0" t="n">
        <v>0.03</v>
      </c>
      <c r="I160" s="0" t="n">
        <v>-2.11406683921814</v>
      </c>
      <c r="J160" s="3" t="n">
        <f aca="false">(D160-INDEX(Summary!$C:$C,MATCH(B160,Summary!$A:$A,0)))*Summary!$B$9</f>
        <v>0.0875440000197614</v>
      </c>
      <c r="K160" s="3" t="n">
        <f aca="false">(E160-INDEX(Summary!$D:$D,MATCH(B160,Summary!$A:$A,0)))*Summary!$B$9*COS(RADIANS(D160))</f>
        <v>0.282791642147005</v>
      </c>
      <c r="L160" s="3" t="n">
        <f aca="false">SQRT(J160^2+K160^2)</f>
        <v>0.296032202315321</v>
      </c>
    </row>
    <row r="161" customFormat="false" ht="15" hidden="false" customHeight="false" outlineLevel="0" collapsed="false">
      <c r="A161" s="0" t="s">
        <v>16</v>
      </c>
      <c r="B161" s="0" t="s">
        <v>18</v>
      </c>
      <c r="C161" s="0" t="n">
        <v>101.473640501</v>
      </c>
      <c r="D161" s="2" t="n">
        <v>-34.9183349</v>
      </c>
      <c r="E161" s="2" t="n">
        <v>138.605506</v>
      </c>
      <c r="F161" s="0" t="n">
        <v>3</v>
      </c>
      <c r="G161" s="0" t="n">
        <v>32</v>
      </c>
      <c r="H161" s="0" t="n">
        <v>0.03</v>
      </c>
      <c r="I161" s="0" t="n">
        <v>-2.11282253265381</v>
      </c>
      <c r="J161" s="3" t="n">
        <f aca="false">(D161-INDEX(Summary!$C:$C,MATCH(B161,Summary!$A:$A,0)))*Summary!$B$9</f>
        <v>0.0653050005499622</v>
      </c>
      <c r="K161" s="3" t="n">
        <f aca="false">(E161-INDEX(Summary!$D:$D,MATCH(B161,Summary!$A:$A,0)))*Summary!$B$9*COS(RADIANS(D161))</f>
        <v>0.273673996951093</v>
      </c>
      <c r="L161" s="3" t="n">
        <f aca="false">SQRT(J161^2+K161^2)</f>
        <v>0.281357778822654</v>
      </c>
    </row>
    <row r="162" customFormat="false" ht="15" hidden="false" customHeight="false" outlineLevel="0" collapsed="false">
      <c r="A162" s="0" t="s">
        <v>16</v>
      </c>
      <c r="B162" s="0" t="s">
        <v>18</v>
      </c>
      <c r="C162" s="0" t="n">
        <v>102.475137619</v>
      </c>
      <c r="D162" s="2" t="n">
        <v>-34.9183349</v>
      </c>
      <c r="E162" s="2" t="n">
        <v>138.6055059</v>
      </c>
      <c r="F162" s="0" t="n">
        <v>3</v>
      </c>
      <c r="G162" s="0" t="n">
        <v>32</v>
      </c>
      <c r="H162" s="0" t="n">
        <v>0.02</v>
      </c>
      <c r="I162" s="0" t="n">
        <v>-2.11162972450256</v>
      </c>
      <c r="J162" s="3" t="n">
        <f aca="false">(D162-INDEX(Summary!$C:$C,MATCH(B162,Summary!$A:$A,0)))*Summary!$B$9</f>
        <v>0.0653050005499622</v>
      </c>
      <c r="K162" s="3" t="n">
        <f aca="false">(E162-INDEX(Summary!$D:$D,MATCH(B162,Summary!$A:$A,0)))*Summary!$B$9*COS(RADIANS(D162))</f>
        <v>0.264556355035672</v>
      </c>
      <c r="L162" s="3" t="n">
        <f aca="false">SQRT(J162^2+K162^2)</f>
        <v>0.272497354274479</v>
      </c>
    </row>
    <row r="163" customFormat="false" ht="15" hidden="false" customHeight="false" outlineLevel="0" collapsed="false">
      <c r="A163" s="0" t="s">
        <v>16</v>
      </c>
      <c r="B163" s="0" t="s">
        <v>18</v>
      </c>
      <c r="C163" s="0" t="n">
        <v>103.476587609</v>
      </c>
      <c r="D163" s="2" t="n">
        <v>-34.9183352</v>
      </c>
      <c r="E163" s="2" t="n">
        <v>138.6055059</v>
      </c>
      <c r="F163" s="0" t="n">
        <v>3</v>
      </c>
      <c r="G163" s="0" t="n">
        <v>32</v>
      </c>
      <c r="H163" s="0" t="n">
        <v>0.0223606797749979</v>
      </c>
      <c r="I163" s="0" t="n">
        <v>-2.11036896705627</v>
      </c>
      <c r="J163" s="3" t="n">
        <f aca="false">(D163-INDEX(Summary!$C:$C,MATCH(B163,Summary!$A:$A,0)))*Summary!$B$9</f>
        <v>0.0319465001601316</v>
      </c>
      <c r="K163" s="3" t="n">
        <f aca="false">(E163-INDEX(Summary!$D:$D,MATCH(B163,Summary!$A:$A,0)))*Summary!$B$9*COS(RADIANS(D163))</f>
        <v>0.264556354068674</v>
      </c>
      <c r="L163" s="3" t="n">
        <f aca="false">SQRT(J163^2+K163^2)</f>
        <v>0.26647822303256</v>
      </c>
    </row>
    <row r="164" customFormat="false" ht="15" hidden="false" customHeight="false" outlineLevel="0" collapsed="false">
      <c r="A164" s="0" t="s">
        <v>16</v>
      </c>
      <c r="B164" s="0" t="s">
        <v>18</v>
      </c>
      <c r="C164" s="0" t="n">
        <v>104.477989579</v>
      </c>
      <c r="D164" s="2" t="n">
        <v>-34.9183354</v>
      </c>
      <c r="E164" s="2" t="n">
        <v>138.6055059</v>
      </c>
      <c r="F164" s="0" t="n">
        <v>3</v>
      </c>
      <c r="G164" s="0" t="n">
        <v>32</v>
      </c>
      <c r="H164" s="0" t="n">
        <v>0.02</v>
      </c>
      <c r="I164" s="0" t="n">
        <v>-2.10927796363831</v>
      </c>
      <c r="J164" s="3" t="n">
        <f aca="false">(D164-INDEX(Summary!$C:$C,MATCH(B164,Summary!$A:$A,0)))*Summary!$B$9</f>
        <v>0.00970750069033244</v>
      </c>
      <c r="K164" s="3" t="n">
        <f aca="false">(E164-INDEX(Summary!$D:$D,MATCH(B164,Summary!$A:$A,0)))*Summary!$B$9*COS(RADIANS(D164))</f>
        <v>0.264556353424009</v>
      </c>
      <c r="L164" s="3" t="n">
        <f aca="false">SQRT(J164^2+K164^2)</f>
        <v>0.26473439464237</v>
      </c>
    </row>
    <row r="165" customFormat="false" ht="15" hidden="false" customHeight="false" outlineLevel="0" collapsed="false">
      <c r="A165" s="0" t="s">
        <v>16</v>
      </c>
      <c r="B165" s="0" t="s">
        <v>18</v>
      </c>
      <c r="C165" s="0" t="n">
        <v>105.479319995</v>
      </c>
      <c r="D165" s="2" t="n">
        <v>-34.9183355</v>
      </c>
      <c r="E165" s="2" t="n">
        <v>138.6055059</v>
      </c>
      <c r="F165" s="0" t="n">
        <v>3</v>
      </c>
      <c r="G165" s="0" t="n">
        <v>32</v>
      </c>
      <c r="H165" s="0" t="n">
        <v>0.02</v>
      </c>
      <c r="I165" s="0" t="n">
        <v>-2.10811829566956</v>
      </c>
      <c r="J165" s="3" t="n">
        <f aca="false">(D165-INDEX(Summary!$C:$C,MATCH(B165,Summary!$A:$A,0)))*Summary!$B$9</f>
        <v>-0.00141199943961112</v>
      </c>
      <c r="K165" s="3" t="n">
        <f aca="false">(E165-INDEX(Summary!$D:$D,MATCH(B165,Summary!$A:$A,0)))*Summary!$B$9*COS(RADIANS(D165))</f>
        <v>0.264556353101676</v>
      </c>
      <c r="L165" s="3" t="n">
        <f aca="false">SQRT(J165^2+K165^2)</f>
        <v>0.26456012116129</v>
      </c>
    </row>
    <row r="166" customFormat="false" ht="15" hidden="false" customHeight="false" outlineLevel="0" collapsed="false">
      <c r="A166" s="0" t="s">
        <v>16</v>
      </c>
      <c r="B166" s="0" t="s">
        <v>18</v>
      </c>
      <c r="C166" s="0" t="n">
        <v>106.480711243</v>
      </c>
      <c r="D166" s="2" t="n">
        <v>-34.9183357</v>
      </c>
      <c r="E166" s="2" t="n">
        <v>138.6055058</v>
      </c>
      <c r="F166" s="0" t="n">
        <v>3</v>
      </c>
      <c r="G166" s="0" t="n">
        <v>32</v>
      </c>
      <c r="H166" s="0" t="n">
        <v>0.01</v>
      </c>
      <c r="I166" s="0" t="n">
        <v>-2.10698318481445</v>
      </c>
      <c r="J166" s="3" t="n">
        <f aca="false">(D166-INDEX(Summary!$C:$C,MATCH(B166,Summary!$A:$A,0)))*Summary!$B$9</f>
        <v>-0.0236509996994982</v>
      </c>
      <c r="K166" s="3" t="n">
        <f aca="false">(E166-INDEX(Summary!$D:$D,MATCH(B166,Summary!$A:$A,0)))*Summary!$B$9*COS(RADIANS(D166))</f>
        <v>0.255438710630461</v>
      </c>
      <c r="L166" s="3" t="n">
        <f aca="false">SQRT(J166^2+K166^2)</f>
        <v>0.256531293754462</v>
      </c>
    </row>
    <row r="167" customFormat="false" ht="15" hidden="false" customHeight="false" outlineLevel="0" collapsed="false">
      <c r="A167" s="0" t="s">
        <v>16</v>
      </c>
      <c r="B167" s="0" t="s">
        <v>18</v>
      </c>
      <c r="C167" s="0" t="n">
        <v>107.482123806</v>
      </c>
      <c r="D167" s="2" t="n">
        <v>-34.9183359</v>
      </c>
      <c r="E167" s="2" t="n">
        <v>138.6055056</v>
      </c>
      <c r="F167" s="0" t="n">
        <v>3</v>
      </c>
      <c r="G167" s="0" t="n">
        <v>32</v>
      </c>
      <c r="H167" s="0" t="n">
        <v>0.02</v>
      </c>
      <c r="I167" s="0" t="n">
        <v>-2.10585999488831</v>
      </c>
      <c r="J167" s="3" t="n">
        <f aca="false">(D167-INDEX(Summary!$C:$C,MATCH(B167,Summary!$A:$A,0)))*Summary!$B$9</f>
        <v>-0.0458899999593854</v>
      </c>
      <c r="K167" s="3" t="n">
        <f aca="false">(E167-INDEX(Summary!$D:$D,MATCH(B167,Summary!$A:$A,0)))*Summary!$B$9*COS(RADIANS(D167))</f>
        <v>0.237203423807958</v>
      </c>
      <c r="L167" s="3" t="n">
        <f aca="false">SQRT(J167^2+K167^2)</f>
        <v>0.241601648095558</v>
      </c>
    </row>
    <row r="168" customFormat="false" ht="15" hidden="false" customHeight="false" outlineLevel="0" collapsed="false">
      <c r="A168" s="0" t="s">
        <v>16</v>
      </c>
      <c r="B168" s="0" t="s">
        <v>18</v>
      </c>
      <c r="C168" s="0" t="n">
        <v>108.483409463</v>
      </c>
      <c r="D168" s="2" t="n">
        <v>-34.9183362</v>
      </c>
      <c r="E168" s="2" t="n">
        <v>138.6055056</v>
      </c>
      <c r="F168" s="0" t="n">
        <v>3</v>
      </c>
      <c r="G168" s="0" t="n">
        <v>32</v>
      </c>
      <c r="H168" s="0" t="n">
        <v>0.02</v>
      </c>
      <c r="I168" s="0" t="n">
        <v>-2.10475564002991</v>
      </c>
      <c r="J168" s="3" t="n">
        <f aca="false">(D168-INDEX(Summary!$C:$C,MATCH(B168,Summary!$A:$A,0)))*Summary!$B$9</f>
        <v>-0.0792484995591281</v>
      </c>
      <c r="K168" s="3" t="n">
        <f aca="false">(E168-INDEX(Summary!$D:$D,MATCH(B168,Summary!$A:$A,0)))*Summary!$B$9*COS(RADIANS(D168))</f>
        <v>0.237203422940939</v>
      </c>
      <c r="L168" s="3" t="n">
        <f aca="false">SQRT(J168^2+K168^2)</f>
        <v>0.250091560307963</v>
      </c>
    </row>
    <row r="169" customFormat="false" ht="15" hidden="false" customHeight="false" outlineLevel="0" collapsed="false">
      <c r="A169" s="0" t="s">
        <v>16</v>
      </c>
      <c r="B169" s="0" t="s">
        <v>18</v>
      </c>
      <c r="C169" s="0" t="n">
        <v>109.484652119</v>
      </c>
      <c r="D169" s="2" t="n">
        <v>-34.9183363</v>
      </c>
      <c r="E169" s="2" t="n">
        <v>138.6055055</v>
      </c>
      <c r="F169" s="0" t="n">
        <v>3</v>
      </c>
      <c r="G169" s="0" t="n">
        <v>32</v>
      </c>
      <c r="H169" s="0" t="n">
        <v>0.02</v>
      </c>
      <c r="I169" s="0" t="n">
        <v>-2.10373735427856</v>
      </c>
      <c r="J169" s="3" t="n">
        <f aca="false">(D169-INDEX(Summary!$C:$C,MATCH(B169,Summary!$A:$A,0)))*Summary!$B$9</f>
        <v>-0.0903679996890716</v>
      </c>
      <c r="K169" s="3" t="n">
        <f aca="false">(E169-INDEX(Summary!$D:$D,MATCH(B169,Summary!$A:$A,0)))*Summary!$B$9*COS(RADIANS(D169))</f>
        <v>0.228085780892036</v>
      </c>
      <c r="L169" s="3" t="n">
        <f aca="false">SQRT(J169^2+K169^2)</f>
        <v>0.245335482172746</v>
      </c>
    </row>
    <row r="170" customFormat="false" ht="15" hidden="false" customHeight="false" outlineLevel="0" collapsed="false">
      <c r="A170" s="0" t="s">
        <v>16</v>
      </c>
      <c r="B170" s="0" t="s">
        <v>18</v>
      </c>
      <c r="C170" s="0" t="n">
        <v>110.485892497</v>
      </c>
      <c r="D170" s="2" t="n">
        <v>-34.9183365</v>
      </c>
      <c r="E170" s="2" t="n">
        <v>138.6055055</v>
      </c>
      <c r="F170" s="0" t="n">
        <v>3</v>
      </c>
      <c r="G170" s="0" t="n">
        <v>32</v>
      </c>
      <c r="H170" s="0" t="n">
        <v>0.01</v>
      </c>
      <c r="I170" s="0" t="n">
        <v>-2.10272836685181</v>
      </c>
      <c r="J170" s="3" t="n">
        <f aca="false">(D170-INDEX(Summary!$C:$C,MATCH(B170,Summary!$A:$A,0)))*Summary!$B$9</f>
        <v>-0.112606999948959</v>
      </c>
      <c r="K170" s="3" t="n">
        <f aca="false">(E170-INDEX(Summary!$D:$D,MATCH(B170,Summary!$A:$A,0)))*Summary!$B$9*COS(RADIANS(D170))</f>
        <v>0.228085780336241</v>
      </c>
      <c r="L170" s="3" t="n">
        <f aca="false">SQRT(J170^2+K170^2)</f>
        <v>0.254368747351354</v>
      </c>
    </row>
    <row r="171" customFormat="false" ht="15" hidden="false" customHeight="false" outlineLevel="0" collapsed="false">
      <c r="A171" s="0" t="s">
        <v>16</v>
      </c>
      <c r="B171" s="0" t="s">
        <v>18</v>
      </c>
      <c r="C171" s="0" t="n">
        <v>111.48720695</v>
      </c>
      <c r="D171" s="2" t="n">
        <v>-34.9183364</v>
      </c>
      <c r="E171" s="2" t="n">
        <v>138.6055053</v>
      </c>
      <c r="F171" s="0" t="n">
        <v>3</v>
      </c>
      <c r="G171" s="0" t="n">
        <v>32</v>
      </c>
      <c r="H171" s="0" t="n">
        <v>0.01</v>
      </c>
      <c r="I171" s="0" t="n">
        <v>-2.10183191299439</v>
      </c>
      <c r="J171" s="3" t="n">
        <f aca="false">(D171-INDEX(Summary!$C:$C,MATCH(B171,Summary!$A:$A,0)))*Summary!$B$9</f>
        <v>-0.101487499819015</v>
      </c>
      <c r="K171" s="3" t="n">
        <f aca="false">(E171-INDEX(Summary!$D:$D,MATCH(B171,Summary!$A:$A,0)))*Summary!$B$9*COS(RADIANS(D171))</f>
        <v>0.209850497116561</v>
      </c>
      <c r="L171" s="3" t="n">
        <f aca="false">SQRT(J171^2+K171^2)</f>
        <v>0.233102860899609</v>
      </c>
    </row>
    <row r="172" customFormat="false" ht="15" hidden="false" customHeight="false" outlineLevel="0" collapsed="false">
      <c r="A172" s="0" t="s">
        <v>16</v>
      </c>
      <c r="B172" s="0" t="s">
        <v>18</v>
      </c>
      <c r="C172" s="0" t="n">
        <v>112.488619587</v>
      </c>
      <c r="D172" s="2" t="n">
        <v>-34.9183364</v>
      </c>
      <c r="E172" s="2" t="n">
        <v>138.6055051</v>
      </c>
      <c r="F172" s="0" t="n">
        <v>3</v>
      </c>
      <c r="G172" s="0" t="n">
        <v>32</v>
      </c>
      <c r="H172" s="0" t="n">
        <v>0</v>
      </c>
      <c r="I172" s="0" t="n">
        <v>-2.10097312927246</v>
      </c>
      <c r="J172" s="3" t="n">
        <f aca="false">(D172-INDEX(Summary!$C:$C,MATCH(B172,Summary!$A:$A,0)))*Summary!$B$9</f>
        <v>-0.101487499819015</v>
      </c>
      <c r="K172" s="3" t="n">
        <f aca="false">(E172-INDEX(Summary!$D:$D,MATCH(B172,Summary!$A:$A,0)))*Summary!$B$9*COS(RADIANS(D172))</f>
        <v>0.191615211027594</v>
      </c>
      <c r="L172" s="3" t="n">
        <f aca="false">SQRT(J172^2+K172^2)</f>
        <v>0.216831966547057</v>
      </c>
    </row>
    <row r="173" customFormat="false" ht="15" hidden="false" customHeight="false" outlineLevel="0" collapsed="false">
      <c r="A173" s="0" t="s">
        <v>16</v>
      </c>
      <c r="B173" s="0" t="s">
        <v>18</v>
      </c>
      <c r="C173" s="0" t="n">
        <v>113.48997741</v>
      </c>
      <c r="D173" s="2" t="n">
        <v>-34.9183362</v>
      </c>
      <c r="E173" s="2" t="n">
        <v>138.605505</v>
      </c>
      <c r="F173" s="0" t="n">
        <v>3</v>
      </c>
      <c r="G173" s="0" t="n">
        <v>31</v>
      </c>
      <c r="H173" s="0" t="n">
        <v>0</v>
      </c>
      <c r="I173" s="0" t="n">
        <v>-2.10007953643799</v>
      </c>
      <c r="J173" s="3" t="n">
        <f aca="false">(D173-INDEX(Summary!$C:$C,MATCH(B173,Summary!$A:$A,0)))*Summary!$B$9</f>
        <v>-0.0792484995591281</v>
      </c>
      <c r="K173" s="3" t="n">
        <f aca="false">(E173-INDEX(Summary!$D:$D,MATCH(B173,Summary!$A:$A,0)))*Summary!$B$9*COS(RADIANS(D173))</f>
        <v>0.182497569723511</v>
      </c>
      <c r="L173" s="3" t="n">
        <f aca="false">SQRT(J173^2+K173^2)</f>
        <v>0.198961523007241</v>
      </c>
    </row>
    <row r="174" customFormat="false" ht="15" hidden="false" customHeight="false" outlineLevel="0" collapsed="false">
      <c r="A174" s="0" t="s">
        <v>16</v>
      </c>
      <c r="B174" s="0" t="s">
        <v>18</v>
      </c>
      <c r="C174" s="0" t="n">
        <v>114.49138001</v>
      </c>
      <c r="D174" s="2" t="n">
        <v>-34.9183361</v>
      </c>
      <c r="E174" s="2" t="n">
        <v>138.6055048</v>
      </c>
      <c r="F174" s="0" t="n">
        <v>3</v>
      </c>
      <c r="G174" s="0" t="n">
        <v>31</v>
      </c>
      <c r="H174" s="0" t="n">
        <v>0.01</v>
      </c>
      <c r="I174" s="0" t="n">
        <v>-2.09916996955872</v>
      </c>
      <c r="J174" s="3" t="n">
        <f aca="false">(D174-INDEX(Summary!$C:$C,MATCH(B174,Summary!$A:$A,0)))*Summary!$B$9</f>
        <v>-0.0681289994291845</v>
      </c>
      <c r="K174" s="3" t="n">
        <f aca="false">(E174-INDEX(Summary!$D:$D,MATCH(B174,Summary!$A:$A,0)))*Summary!$B$9*COS(RADIANS(D174))</f>
        <v>0.164262286381634</v>
      </c>
      <c r="L174" s="3" t="n">
        <f aca="false">SQRT(J174^2+K174^2)</f>
        <v>0.17783042284869</v>
      </c>
    </row>
    <row r="175" customFormat="false" ht="15" hidden="false" customHeight="false" outlineLevel="0" collapsed="false">
      <c r="A175" s="0" t="s">
        <v>16</v>
      </c>
      <c r="B175" s="0" t="s">
        <v>18</v>
      </c>
      <c r="C175" s="0" t="n">
        <v>115.493044962</v>
      </c>
      <c r="D175" s="2" t="n">
        <v>-34.9183359</v>
      </c>
      <c r="E175" s="2" t="n">
        <v>138.6055046</v>
      </c>
      <c r="F175" s="0" t="n">
        <v>3</v>
      </c>
      <c r="G175" s="0" t="n">
        <v>32</v>
      </c>
      <c r="H175" s="0" t="n">
        <v>0</v>
      </c>
      <c r="I175" s="0" t="n">
        <v>-2.09833288192749</v>
      </c>
      <c r="J175" s="3" t="n">
        <f aca="false">(D175-INDEX(Summary!$C:$C,MATCH(B175,Summary!$A:$A,0)))*Summary!$B$9</f>
        <v>-0.0458899999593854</v>
      </c>
      <c r="K175" s="3" t="n">
        <f aca="false">(E175-INDEX(Summary!$D:$D,MATCH(B175,Summary!$A:$A,0)))*Summary!$B$9*COS(RADIANS(D175))</f>
        <v>0.146027000581849</v>
      </c>
      <c r="L175" s="3" t="n">
        <f aca="false">SQRT(J175^2+K175^2)</f>
        <v>0.153067883617706</v>
      </c>
    </row>
    <row r="176" customFormat="false" ht="15" hidden="false" customHeight="false" outlineLevel="0" collapsed="false">
      <c r="A176" s="0" t="s">
        <v>16</v>
      </c>
      <c r="B176" s="0" t="s">
        <v>18</v>
      </c>
      <c r="C176" s="0" t="n">
        <v>116.494425414</v>
      </c>
      <c r="D176" s="2" t="n">
        <v>-34.9183359</v>
      </c>
      <c r="E176" s="2" t="n">
        <v>138.6055045</v>
      </c>
      <c r="F176" s="0" t="n">
        <v>3</v>
      </c>
      <c r="G176" s="0" t="n">
        <v>32</v>
      </c>
      <c r="H176" s="0" t="n">
        <v>0</v>
      </c>
      <c r="I176" s="0" t="n">
        <v>-2.09761428833008</v>
      </c>
      <c r="J176" s="3" t="n">
        <f aca="false">(D176-INDEX(Summary!$C:$C,MATCH(B176,Summary!$A:$A,0)))*Summary!$B$9</f>
        <v>-0.0458899999593854</v>
      </c>
      <c r="K176" s="3" t="n">
        <f aca="false">(E176-INDEX(Summary!$D:$D,MATCH(B176,Summary!$A:$A,0)))*Summary!$B$9*COS(RADIANS(D176))</f>
        <v>0.136909358777516</v>
      </c>
      <c r="L176" s="3" t="n">
        <f aca="false">SQRT(J176^2+K176^2)</f>
        <v>0.14439551453263</v>
      </c>
    </row>
    <row r="177" customFormat="false" ht="15" hidden="false" customHeight="false" outlineLevel="0" collapsed="false">
      <c r="A177" s="0" t="s">
        <v>16</v>
      </c>
      <c r="B177" s="0" t="s">
        <v>18</v>
      </c>
      <c r="C177" s="0" t="n">
        <v>117.495841329</v>
      </c>
      <c r="D177" s="2" t="n">
        <v>-34.9183357</v>
      </c>
      <c r="E177" s="2" t="n">
        <v>138.6055042</v>
      </c>
      <c r="F177" s="0" t="n">
        <v>3</v>
      </c>
      <c r="G177" s="0" t="n">
        <v>31</v>
      </c>
      <c r="H177" s="0" t="n">
        <v>0.01</v>
      </c>
      <c r="I177" s="0" t="n">
        <v>-2.09684872627258</v>
      </c>
      <c r="J177" s="3" t="n">
        <f aca="false">(D177-INDEX(Summary!$C:$C,MATCH(B177,Summary!$A:$A,0)))*Summary!$B$9</f>
        <v>-0.0236509996994982</v>
      </c>
      <c r="K177" s="3" t="n">
        <f aca="false">(E177-INDEX(Summary!$D:$D,MATCH(B177,Summary!$A:$A,0)))*Summary!$B$9*COS(RADIANS(D177))</f>
        <v>0.109556433631482</v>
      </c>
      <c r="L177" s="3" t="n">
        <f aca="false">SQRT(J177^2+K177^2)</f>
        <v>0.112080247755057</v>
      </c>
    </row>
    <row r="178" customFormat="false" ht="15" hidden="false" customHeight="false" outlineLevel="0" collapsed="false">
      <c r="A178" s="0" t="s">
        <v>16</v>
      </c>
      <c r="B178" s="0" t="s">
        <v>18</v>
      </c>
      <c r="C178" s="0" t="n">
        <v>118.497173652</v>
      </c>
      <c r="D178" s="2" t="n">
        <v>-34.9183354</v>
      </c>
      <c r="E178" s="2" t="n">
        <v>138.6055037</v>
      </c>
      <c r="F178" s="0" t="n">
        <v>3</v>
      </c>
      <c r="G178" s="0" t="n">
        <v>31</v>
      </c>
      <c r="H178" s="0" t="n">
        <v>0.014142135623731</v>
      </c>
      <c r="I178" s="0" t="n">
        <v>-2.09608101844788</v>
      </c>
      <c r="J178" s="3" t="n">
        <f aca="false">(D178-INDEX(Summary!$C:$C,MATCH(B178,Summary!$A:$A,0)))*Summary!$B$9</f>
        <v>0.00970750069033244</v>
      </c>
      <c r="K178" s="3" t="n">
        <f aca="false">(E178-INDEX(Summary!$D:$D,MATCH(B178,Summary!$A:$A,0)))*Summary!$B$9*COS(RADIANS(D178))</f>
        <v>0.0639682221411542</v>
      </c>
      <c r="L178" s="3" t="n">
        <f aca="false">SQRT(J178^2+K178^2)</f>
        <v>0.0647006106119011</v>
      </c>
    </row>
    <row r="179" customFormat="false" ht="15" hidden="false" customHeight="false" outlineLevel="0" collapsed="false">
      <c r="A179" s="0" t="s">
        <v>16</v>
      </c>
      <c r="B179" s="0" t="s">
        <v>18</v>
      </c>
      <c r="C179" s="0" t="n">
        <v>119.498464104</v>
      </c>
      <c r="D179" s="2" t="n">
        <v>-34.9183353</v>
      </c>
      <c r="E179" s="2" t="n">
        <v>138.6055033</v>
      </c>
      <c r="F179" s="0" t="n">
        <v>3</v>
      </c>
      <c r="G179" s="0" t="n">
        <v>32</v>
      </c>
      <c r="H179" s="0" t="n">
        <v>0.0223606797749979</v>
      </c>
      <c r="I179" s="0" t="n">
        <v>-2.09533357620239</v>
      </c>
      <c r="J179" s="3" t="n">
        <f aca="false">(D179-INDEX(Summary!$C:$C,MATCH(B179,Summary!$A:$A,0)))*Summary!$B$9</f>
        <v>0.020827000030188</v>
      </c>
      <c r="K179" s="3" t="n">
        <f aca="false">(E179-INDEX(Summary!$D:$D,MATCH(B179,Summary!$A:$A,0)))*Summary!$B$9*COS(RADIANS(D179))</f>
        <v>0.0274976521437589</v>
      </c>
      <c r="L179" s="3" t="n">
        <f aca="false">SQRT(J179^2+K179^2)</f>
        <v>0.0344947068936181</v>
      </c>
    </row>
    <row r="180" customFormat="false" ht="15" hidden="false" customHeight="false" outlineLevel="0" collapsed="false">
      <c r="A180" s="0" t="s">
        <v>16</v>
      </c>
      <c r="B180" s="0" t="s">
        <v>18</v>
      </c>
      <c r="C180" s="0" t="n">
        <v>120.499732261</v>
      </c>
      <c r="D180" s="2" t="n">
        <v>-34.9183349</v>
      </c>
      <c r="E180" s="2" t="n">
        <v>138.605503</v>
      </c>
      <c r="F180" s="0" t="n">
        <v>3</v>
      </c>
      <c r="G180" s="0" t="n">
        <v>31</v>
      </c>
      <c r="H180" s="0" t="n">
        <v>0.0360555127546399</v>
      </c>
      <c r="I180" s="0" t="n">
        <v>-2.09467601776123</v>
      </c>
      <c r="J180" s="3" t="n">
        <f aca="false">(D180-INDEX(Summary!$C:$C,MATCH(B180,Summary!$A:$A,0)))*Summary!$B$9</f>
        <v>0.0653050005499622</v>
      </c>
      <c r="K180" s="3" t="n">
        <f aca="false">(E180-INDEX(Summary!$D:$D,MATCH(B180,Summary!$A:$A,0)))*Summary!$B$9*COS(RADIANS(D180))</f>
        <v>0.000144723940116718</v>
      </c>
      <c r="L180" s="3" t="n">
        <f aca="false">SQRT(J180^2+K180^2)</f>
        <v>0.0653051609128208</v>
      </c>
    </row>
    <row r="181" customFormat="false" ht="15" hidden="false" customHeight="false" outlineLevel="0" collapsed="false">
      <c r="A181" s="0" t="s">
        <v>16</v>
      </c>
      <c r="B181" s="0" t="s">
        <v>18</v>
      </c>
      <c r="C181" s="0" t="n">
        <v>121.501102732</v>
      </c>
      <c r="D181" s="2" t="n">
        <v>-34.9183348</v>
      </c>
      <c r="E181" s="2" t="n">
        <v>138.6055025</v>
      </c>
      <c r="F181" s="0" t="n">
        <v>3</v>
      </c>
      <c r="G181" s="0" t="n">
        <v>31</v>
      </c>
      <c r="H181" s="0" t="n">
        <v>0.0282842712474619</v>
      </c>
      <c r="I181" s="0" t="n">
        <v>-2.09398531913757</v>
      </c>
      <c r="J181" s="3" t="n">
        <f aca="false">(D181-INDEX(Summary!$C:$C,MATCH(B181,Summary!$A:$A,0)))*Summary!$B$9</f>
        <v>0.0764245006799058</v>
      </c>
      <c r="K181" s="3" t="n">
        <f aca="false">(E181-INDEX(Summary!$D:$D,MATCH(B181,Summary!$A:$A,0)))*Summary!$B$9*COS(RADIANS(D181))</f>
        <v>-0.0454434882837472</v>
      </c>
      <c r="L181" s="3" t="n">
        <f aca="false">SQRT(J181^2+K181^2)</f>
        <v>0.0889146497016548</v>
      </c>
    </row>
    <row r="182" customFormat="false" ht="15" hidden="false" customHeight="false" outlineLevel="0" collapsed="false">
      <c r="A182" s="0" t="s">
        <v>16</v>
      </c>
      <c r="B182" s="0" t="s">
        <v>18</v>
      </c>
      <c r="C182" s="0" t="n">
        <v>122.502386536</v>
      </c>
      <c r="D182" s="2" t="n">
        <v>-34.9183347</v>
      </c>
      <c r="E182" s="2" t="n">
        <v>138.605502</v>
      </c>
      <c r="F182" s="0" t="n">
        <v>3</v>
      </c>
      <c r="G182" s="0" t="n">
        <v>32</v>
      </c>
      <c r="H182" s="0" t="n">
        <v>0.014142135623731</v>
      </c>
      <c r="I182" s="0" t="n">
        <v>-2.0933313369751</v>
      </c>
      <c r="J182" s="3" t="n">
        <f aca="false">(D182-INDEX(Summary!$C:$C,MATCH(B182,Summary!$A:$A,0)))*Summary!$B$9</f>
        <v>0.0875440000197614</v>
      </c>
      <c r="K182" s="3" t="n">
        <f aca="false">(E182-INDEX(Summary!$D:$D,MATCH(B182,Summary!$A:$A,0)))*Summary!$B$9*COS(RADIANS(D182))</f>
        <v>-0.0910317006186994</v>
      </c>
      <c r="L182" s="3" t="n">
        <f aca="false">SQRT(J182^2+K182^2)</f>
        <v>0.126296169605386</v>
      </c>
    </row>
    <row r="183" customFormat="false" ht="15" hidden="false" customHeight="false" outlineLevel="0" collapsed="false">
      <c r="A183" s="0" t="s">
        <v>16</v>
      </c>
      <c r="B183" s="0" t="s">
        <v>18</v>
      </c>
      <c r="C183" s="0" t="n">
        <v>123.503669655</v>
      </c>
      <c r="D183" s="2" t="n">
        <v>-34.9183347</v>
      </c>
      <c r="E183" s="2" t="n">
        <v>138.6055016</v>
      </c>
      <c r="F183" s="0" t="n">
        <v>3</v>
      </c>
      <c r="G183" s="0" t="n">
        <v>31</v>
      </c>
      <c r="H183" s="0" t="n">
        <v>0.01</v>
      </c>
      <c r="I183" s="0" t="n">
        <v>-2.09263968467712</v>
      </c>
      <c r="J183" s="3" t="n">
        <f aca="false">(D183-INDEX(Summary!$C:$C,MATCH(B183,Summary!$A:$A,0)))*Summary!$B$9</f>
        <v>0.0875440000197614</v>
      </c>
      <c r="K183" s="3" t="n">
        <f aca="false">(E183-INDEX(Summary!$D:$D,MATCH(B183,Summary!$A:$A,0)))*Summary!$B$9*COS(RADIANS(D183))</f>
        <v>-0.127502270960645</v>
      </c>
      <c r="L183" s="3" t="n">
        <f aca="false">SQRT(J183^2+K183^2)</f>
        <v>0.154663444419105</v>
      </c>
    </row>
    <row r="184" customFormat="false" ht="15" hidden="false" customHeight="false" outlineLevel="0" collapsed="false">
      <c r="A184" s="0" t="s">
        <v>16</v>
      </c>
      <c r="B184" s="0" t="s">
        <v>18</v>
      </c>
      <c r="C184" s="0" t="n">
        <v>124.505136033</v>
      </c>
      <c r="D184" s="2" t="n">
        <v>-34.9183346</v>
      </c>
      <c r="E184" s="2" t="n">
        <v>138.6055014</v>
      </c>
      <c r="F184" s="0" t="n">
        <v>3</v>
      </c>
      <c r="G184" s="0" t="n">
        <v>32</v>
      </c>
      <c r="H184" s="0" t="n">
        <v>0.01</v>
      </c>
      <c r="I184" s="0" t="n">
        <v>-2.09203410148621</v>
      </c>
      <c r="J184" s="3" t="n">
        <f aca="false">(D184-INDEX(Summary!$C:$C,MATCH(B184,Summary!$A:$A,0)))*Summary!$B$9</f>
        <v>0.0986635001497049</v>
      </c>
      <c r="K184" s="3" t="n">
        <f aca="false">(E184-INDEX(Summary!$D:$D,MATCH(B184,Summary!$A:$A,0)))*Summary!$B$9*COS(RADIANS(D184))</f>
        <v>-0.145737555013488</v>
      </c>
      <c r="L184" s="3" t="n">
        <f aca="false">SQRT(J184^2+K184^2)</f>
        <v>0.175994094227904</v>
      </c>
    </row>
    <row r="185" customFormat="false" ht="15" hidden="false" customHeight="false" outlineLevel="0" collapsed="false">
      <c r="A185" s="0" t="s">
        <v>16</v>
      </c>
      <c r="B185" s="0" t="s">
        <v>18</v>
      </c>
      <c r="C185" s="0" t="n">
        <v>125.506542374</v>
      </c>
      <c r="D185" s="2" t="n">
        <v>-34.9183345</v>
      </c>
      <c r="E185" s="2" t="n">
        <v>138.6055012</v>
      </c>
      <c r="F185" s="0" t="n">
        <v>3</v>
      </c>
      <c r="G185" s="0" t="n">
        <v>31</v>
      </c>
      <c r="H185" s="0" t="n">
        <v>0</v>
      </c>
      <c r="I185" s="0" t="n">
        <v>-2.09148550033569</v>
      </c>
      <c r="J185" s="3" t="n">
        <f aca="false">(D185-INDEX(Summary!$C:$C,MATCH(B185,Summary!$A:$A,0)))*Summary!$B$9</f>
        <v>0.109783000279648</v>
      </c>
      <c r="K185" s="3" t="n">
        <f aca="false">(E185-INDEX(Summary!$D:$D,MATCH(B185,Summary!$A:$A,0)))*Summary!$B$9*COS(RADIANS(D185))</f>
        <v>-0.163972841702156</v>
      </c>
      <c r="L185" s="3" t="n">
        <f aca="false">SQRT(J185^2+K185^2)</f>
        <v>0.197330686833755</v>
      </c>
    </row>
    <row r="186" customFormat="false" ht="15" hidden="false" customHeight="false" outlineLevel="0" collapsed="false">
      <c r="A186" s="0" t="s">
        <v>16</v>
      </c>
      <c r="B186" s="0" t="s">
        <v>18</v>
      </c>
      <c r="C186" s="0" t="n">
        <v>126.507967326</v>
      </c>
      <c r="D186" s="2" t="n">
        <v>-34.9183343</v>
      </c>
      <c r="E186" s="2" t="n">
        <v>138.6055009</v>
      </c>
      <c r="F186" s="0" t="n">
        <v>3</v>
      </c>
      <c r="G186" s="0" t="n">
        <v>32</v>
      </c>
      <c r="H186" s="0" t="n">
        <v>0.014142135623731</v>
      </c>
      <c r="I186" s="0" t="n">
        <v>-2.09111833572388</v>
      </c>
      <c r="J186" s="3" t="n">
        <f aca="false">(D186-INDEX(Summary!$C:$C,MATCH(B186,Summary!$A:$A,0)))*Summary!$B$9</f>
        <v>0.132022000539536</v>
      </c>
      <c r="K186" s="3" t="n">
        <f aca="false">(E186-INDEX(Summary!$D:$D,MATCH(B186,Summary!$A:$A,0)))*Summary!$B$9*COS(RADIANS(D186))</f>
        <v>-0.191325768047944</v>
      </c>
      <c r="L186" s="3" t="n">
        <f aca="false">SQRT(J186^2+K186^2)</f>
        <v>0.232455066938961</v>
      </c>
    </row>
    <row r="187" customFormat="false" ht="15" hidden="false" customHeight="false" outlineLevel="0" collapsed="false">
      <c r="A187" s="0" t="s">
        <v>16</v>
      </c>
      <c r="B187" s="0" t="s">
        <v>18</v>
      </c>
      <c r="C187" s="0" t="n">
        <v>127.50937063</v>
      </c>
      <c r="D187" s="2" t="n">
        <v>-34.9183342</v>
      </c>
      <c r="E187" s="2" t="n">
        <v>138.6055006</v>
      </c>
      <c r="F187" s="0" t="n">
        <v>3</v>
      </c>
      <c r="G187" s="0" t="n">
        <v>32</v>
      </c>
      <c r="H187" s="0" t="n">
        <v>0.01</v>
      </c>
      <c r="I187" s="0" t="n">
        <v>-2.09070873260498</v>
      </c>
      <c r="J187" s="3" t="n">
        <f aca="false">(D187-INDEX(Summary!$C:$C,MATCH(B187,Summary!$A:$A,0)))*Summary!$B$9</f>
        <v>0.143141500669479</v>
      </c>
      <c r="K187" s="3" t="n">
        <f aca="false">(E187-INDEX(Summary!$D:$D,MATCH(B187,Summary!$A:$A,0)))*Summary!$B$9*COS(RADIANS(D187))</f>
        <v>-0.218678696851992</v>
      </c>
      <c r="L187" s="3" t="n">
        <f aca="false">SQRT(J187^2+K187^2)</f>
        <v>0.261361553543738</v>
      </c>
    </row>
    <row r="188" customFormat="false" ht="15" hidden="false" customHeight="false" outlineLevel="0" collapsed="false">
      <c r="A188" s="0" t="s">
        <v>16</v>
      </c>
      <c r="B188" s="0" t="s">
        <v>18</v>
      </c>
      <c r="C188" s="0" t="n">
        <v>128.510932027</v>
      </c>
      <c r="D188" s="2" t="n">
        <v>-34.9183341</v>
      </c>
      <c r="E188" s="2" t="n">
        <v>138.6055003</v>
      </c>
      <c r="F188" s="0" t="n">
        <v>3</v>
      </c>
      <c r="G188" s="0" t="n">
        <v>30</v>
      </c>
      <c r="H188" s="0" t="n">
        <v>0</v>
      </c>
      <c r="I188" s="0" t="n">
        <v>-2.09029936790466</v>
      </c>
      <c r="J188" s="3" t="n">
        <f aca="false">(D188-INDEX(Summary!$C:$C,MATCH(B188,Summary!$A:$A,0)))*Summary!$B$9</f>
        <v>0.154261000009335</v>
      </c>
      <c r="K188" s="3" t="n">
        <f aca="false">(E188-INDEX(Summary!$D:$D,MATCH(B188,Summary!$A:$A,0)))*Summary!$B$9*COS(RADIANS(D188))</f>
        <v>-0.246031625722694</v>
      </c>
      <c r="L188" s="3" t="n">
        <f aca="false">SQRT(J188^2+K188^2)</f>
        <v>0.290392866612855</v>
      </c>
    </row>
    <row r="189" customFormat="false" ht="15" hidden="false" customHeight="false" outlineLevel="0" collapsed="false">
      <c r="A189" s="0" t="s">
        <v>16</v>
      </c>
      <c r="B189" s="0" t="s">
        <v>18</v>
      </c>
      <c r="C189" s="0" t="n">
        <v>129.512234701</v>
      </c>
      <c r="D189" s="2" t="n">
        <v>-34.9183343</v>
      </c>
      <c r="E189" s="2" t="n">
        <v>138.6055002</v>
      </c>
      <c r="F189" s="0" t="n">
        <v>3</v>
      </c>
      <c r="G189" s="0" t="n">
        <v>31</v>
      </c>
      <c r="H189" s="0" t="n">
        <v>0</v>
      </c>
      <c r="I189" s="0" t="n">
        <v>-2.08990406990051</v>
      </c>
      <c r="J189" s="3" t="n">
        <f aca="false">(D189-INDEX(Summary!$C:$C,MATCH(B189,Summary!$A:$A,0)))*Summary!$B$9</f>
        <v>0.132022000539536</v>
      </c>
      <c r="K189" s="3" t="n">
        <f aca="false">(E189-INDEX(Summary!$D:$D,MATCH(B189,Summary!$A:$A,0)))*Summary!$B$9*COS(RADIANS(D189))</f>
        <v>-0.255149267105243</v>
      </c>
      <c r="L189" s="3" t="n">
        <f aca="false">SQRT(J189^2+K189^2)</f>
        <v>0.287282016720163</v>
      </c>
    </row>
    <row r="190" customFormat="false" ht="15" hidden="false" customHeight="false" outlineLevel="0" collapsed="false">
      <c r="A190" s="0" t="s">
        <v>16</v>
      </c>
      <c r="B190" s="0" t="s">
        <v>18</v>
      </c>
      <c r="C190" s="0" t="n">
        <v>130.513530246</v>
      </c>
      <c r="D190" s="2" t="n">
        <v>-34.9183344</v>
      </c>
      <c r="E190" s="2" t="n">
        <v>138.6055001</v>
      </c>
      <c r="F190" s="0" t="n">
        <v>3</v>
      </c>
      <c r="G190" s="0" t="n">
        <v>31</v>
      </c>
      <c r="H190" s="0" t="n">
        <v>0</v>
      </c>
      <c r="I190" s="0" t="n">
        <v>-2.08940291404724</v>
      </c>
      <c r="J190" s="3" t="n">
        <f aca="false">(D190-INDEX(Summary!$C:$C,MATCH(B190,Summary!$A:$A,0)))*Summary!$B$9</f>
        <v>0.120902500409592</v>
      </c>
      <c r="K190" s="3" t="n">
        <f aca="false">(E190-INDEX(Summary!$D:$D,MATCH(B190,Summary!$A:$A,0)))*Summary!$B$9*COS(RADIANS(D190))</f>
        <v>-0.264266908765338</v>
      </c>
      <c r="L190" s="3" t="n">
        <f aca="false">SQRT(J190^2+K190^2)</f>
        <v>0.290610415631785</v>
      </c>
    </row>
    <row r="191" customFormat="false" ht="15" hidden="false" customHeight="false" outlineLevel="0" collapsed="false">
      <c r="A191" s="0" t="s">
        <v>16</v>
      </c>
      <c r="B191" s="0" t="s">
        <v>18</v>
      </c>
      <c r="C191" s="0" t="n">
        <v>131.514864736</v>
      </c>
      <c r="D191" s="2" t="n">
        <v>-34.9183347</v>
      </c>
      <c r="E191" s="2" t="n">
        <v>138.6055001</v>
      </c>
      <c r="F191" s="0" t="n">
        <v>3</v>
      </c>
      <c r="G191" s="0" t="n">
        <v>30</v>
      </c>
      <c r="H191" s="0" t="n">
        <v>0.02</v>
      </c>
      <c r="I191" s="0" t="n">
        <v>-2.08907771110535</v>
      </c>
      <c r="J191" s="3" t="n">
        <f aca="false">(D191-INDEX(Summary!$C:$C,MATCH(B191,Summary!$A:$A,0)))*Summary!$B$9</f>
        <v>0.0875440000197614</v>
      </c>
      <c r="K191" s="3" t="n">
        <f aca="false">(E191-INDEX(Summary!$D:$D,MATCH(B191,Summary!$A:$A,0)))*Summary!$B$9*COS(RADIANS(D191))</f>
        <v>-0.264266907799398</v>
      </c>
      <c r="L191" s="3" t="n">
        <f aca="false">SQRT(J191^2+K191^2)</f>
        <v>0.278389925279841</v>
      </c>
    </row>
    <row r="192" customFormat="false" ht="15" hidden="false" customHeight="false" outlineLevel="0" collapsed="false">
      <c r="A192" s="0" t="s">
        <v>16</v>
      </c>
      <c r="B192" s="0" t="s">
        <v>18</v>
      </c>
      <c r="C192" s="0" t="n">
        <v>132.516096633</v>
      </c>
      <c r="D192" s="2" t="n">
        <v>-34.918335</v>
      </c>
      <c r="E192" s="2" t="n">
        <v>138.6055001</v>
      </c>
      <c r="F192" s="0" t="n">
        <v>3</v>
      </c>
      <c r="G192" s="0" t="n">
        <v>30</v>
      </c>
      <c r="H192" s="0" t="n">
        <v>0.01</v>
      </c>
      <c r="I192" s="0" t="n">
        <v>-2.08878564834595</v>
      </c>
      <c r="J192" s="3" t="n">
        <f aca="false">(D192-INDEX(Summary!$C:$C,MATCH(B192,Summary!$A:$A,0)))*Summary!$B$9</f>
        <v>0.0541855004200187</v>
      </c>
      <c r="K192" s="3" t="n">
        <f aca="false">(E192-INDEX(Summary!$D:$D,MATCH(B192,Summary!$A:$A,0)))*Summary!$B$9*COS(RADIANS(D192))</f>
        <v>-0.264266906833458</v>
      </c>
      <c r="L192" s="3" t="n">
        <f aca="false">SQRT(J192^2+K192^2)</f>
        <v>0.269764835556993</v>
      </c>
    </row>
    <row r="193" customFormat="false" ht="15" hidden="false" customHeight="false" outlineLevel="0" collapsed="false">
      <c r="A193" s="0" t="s">
        <v>16</v>
      </c>
      <c r="B193" s="0" t="s">
        <v>18</v>
      </c>
      <c r="C193" s="0" t="n">
        <v>133.517417696</v>
      </c>
      <c r="D193" s="2" t="n">
        <v>-34.9183351</v>
      </c>
      <c r="E193" s="2" t="n">
        <v>138.6054999</v>
      </c>
      <c r="F193" s="0" t="n">
        <v>3</v>
      </c>
      <c r="G193" s="0" t="n">
        <v>31</v>
      </c>
      <c r="H193" s="0" t="n">
        <v>0.01</v>
      </c>
      <c r="I193" s="0" t="n">
        <v>-2.08840084075928</v>
      </c>
      <c r="J193" s="3" t="n">
        <f aca="false">(D193-INDEX(Summary!$C:$C,MATCH(B193,Summary!$A:$A,0)))*Summary!$B$9</f>
        <v>0.0430660002900751</v>
      </c>
      <c r="K193" s="3" t="n">
        <f aca="false">(E193-INDEX(Summary!$D:$D,MATCH(B193,Summary!$A:$A,0)))*Summary!$B$9*COS(RADIANS(D193))</f>
        <v>-0.282502190297886</v>
      </c>
      <c r="L193" s="3" t="n">
        <f aca="false">SQRT(J193^2+K193^2)</f>
        <v>0.285765932021449</v>
      </c>
    </row>
    <row r="194" customFormat="false" ht="15" hidden="false" customHeight="false" outlineLevel="0" collapsed="false">
      <c r="A194" s="0" t="s">
        <v>16</v>
      </c>
      <c r="B194" s="0" t="s">
        <v>18</v>
      </c>
      <c r="C194" s="0" t="n">
        <v>134.51873013</v>
      </c>
      <c r="D194" s="2" t="n">
        <v>-34.9183353</v>
      </c>
      <c r="E194" s="2" t="n">
        <v>138.6054997</v>
      </c>
      <c r="F194" s="0" t="n">
        <v>3</v>
      </c>
      <c r="G194" s="0" t="n">
        <v>30</v>
      </c>
      <c r="H194" s="0" t="n">
        <v>0.01</v>
      </c>
      <c r="I194" s="0" t="n">
        <v>-2.08814668655396</v>
      </c>
      <c r="J194" s="3" t="n">
        <f aca="false">(D194-INDEX(Summary!$C:$C,MATCH(B194,Summary!$A:$A,0)))*Summary!$B$9</f>
        <v>0.020827000030188</v>
      </c>
      <c r="K194" s="3" t="n">
        <f aca="false">(E194-INDEX(Summary!$D:$D,MATCH(B194,Summary!$A:$A,0)))*Summary!$B$9*COS(RADIANS(D194))</f>
        <v>-0.300737475942852</v>
      </c>
      <c r="L194" s="3" t="n">
        <f aca="false">SQRT(J194^2+K194^2)</f>
        <v>0.301457780405043</v>
      </c>
    </row>
    <row r="195" customFormat="false" ht="15" hidden="false" customHeight="false" outlineLevel="0" collapsed="false">
      <c r="A195" s="0" t="s">
        <v>16</v>
      </c>
      <c r="B195" s="0" t="s">
        <v>18</v>
      </c>
      <c r="C195" s="0" t="n">
        <v>135.521315876</v>
      </c>
      <c r="D195" s="2" t="n">
        <v>-34.9183354</v>
      </c>
      <c r="E195" s="2" t="n">
        <v>138.6054996</v>
      </c>
      <c r="F195" s="0" t="n">
        <v>3</v>
      </c>
      <c r="G195" s="0" t="n">
        <v>30</v>
      </c>
      <c r="H195" s="0" t="n">
        <v>0.02</v>
      </c>
      <c r="I195" s="0" t="n">
        <v>-2.08789920806885</v>
      </c>
      <c r="J195" s="3" t="n">
        <f aca="false">(D195-INDEX(Summary!$C:$C,MATCH(B195,Summary!$A:$A,0)))*Summary!$B$9</f>
        <v>0.00970750069033244</v>
      </c>
      <c r="K195" s="3" t="n">
        <f aca="false">(E195-INDEX(Summary!$D:$D,MATCH(B195,Summary!$A:$A,0)))*Summary!$B$9*COS(RADIANS(D195))</f>
        <v>-0.309855117436314</v>
      </c>
      <c r="L195" s="3" t="n">
        <f aca="false">SQRT(J195^2+K195^2)</f>
        <v>0.310007144064656</v>
      </c>
    </row>
    <row r="196" customFormat="false" ht="15" hidden="false" customHeight="false" outlineLevel="0" collapsed="false">
      <c r="A196" s="0" t="s">
        <v>16</v>
      </c>
      <c r="B196" s="0" t="s">
        <v>18</v>
      </c>
      <c r="C196" s="0" t="n">
        <v>136.522769883</v>
      </c>
      <c r="D196" s="2" t="n">
        <v>-34.9183355</v>
      </c>
      <c r="E196" s="2" t="n">
        <v>138.6054996</v>
      </c>
      <c r="F196" s="0" t="n">
        <v>3</v>
      </c>
      <c r="G196" s="0" t="n">
        <v>24</v>
      </c>
      <c r="H196" s="0" t="n">
        <v>0.01</v>
      </c>
      <c r="I196" s="0" t="n">
        <v>-2.08769083023071</v>
      </c>
      <c r="J196" s="3" t="n">
        <f aca="false">(D196-INDEX(Summary!$C:$C,MATCH(B196,Summary!$A:$A,0)))*Summary!$B$9</f>
        <v>-0.00141199943961112</v>
      </c>
      <c r="K196" s="3" t="n">
        <f aca="false">(E196-INDEX(Summary!$D:$D,MATCH(B196,Summary!$A:$A,0)))*Summary!$B$9*COS(RADIANS(D196))</f>
        <v>-0.30985511705879</v>
      </c>
      <c r="L196" s="3" t="n">
        <f aca="false">SQRT(J196^2+K196^2)</f>
        <v>0.309858334259277</v>
      </c>
    </row>
    <row r="197" customFormat="false" ht="15" hidden="false" customHeight="false" outlineLevel="0" collapsed="false">
      <c r="A197" s="0" t="s">
        <v>16</v>
      </c>
      <c r="B197" s="0" t="s">
        <v>18</v>
      </c>
      <c r="C197" s="0" t="n">
        <v>137.524240187</v>
      </c>
      <c r="D197" s="2" t="n">
        <v>-34.9183358</v>
      </c>
      <c r="E197" s="2" t="n">
        <v>138.6054997</v>
      </c>
      <c r="F197" s="0" t="n">
        <v>3</v>
      </c>
      <c r="G197" s="0" t="n">
        <v>32</v>
      </c>
      <c r="H197" s="0" t="n">
        <v>0.01</v>
      </c>
      <c r="I197" s="0" t="n">
        <v>-2.08743977546692</v>
      </c>
      <c r="J197" s="3" t="n">
        <f aca="false">(D197-INDEX(Summary!$C:$C,MATCH(B197,Summary!$A:$A,0)))*Summary!$B$9</f>
        <v>-0.0347704998294418</v>
      </c>
      <c r="K197" s="3" t="n">
        <f aca="false">(E197-INDEX(Summary!$D:$D,MATCH(B197,Summary!$A:$A,0)))*Summary!$B$9*COS(RADIANS(D197))</f>
        <v>-0.300737474110776</v>
      </c>
      <c r="L197" s="3" t="n">
        <f aca="false">SQRT(J197^2+K197^2)</f>
        <v>0.302740839651539</v>
      </c>
    </row>
    <row r="198" customFormat="false" ht="15" hidden="false" customHeight="false" outlineLevel="0" collapsed="false">
      <c r="A198" s="0" t="s">
        <v>16</v>
      </c>
      <c r="B198" s="0" t="s">
        <v>18</v>
      </c>
      <c r="C198" s="0" t="n">
        <v>138.525739472</v>
      </c>
      <c r="D198" s="2" t="n">
        <v>-34.9183363</v>
      </c>
      <c r="E198" s="2" t="n">
        <v>138.6054998</v>
      </c>
      <c r="F198" s="0" t="n">
        <v>3</v>
      </c>
      <c r="G198" s="0" t="n">
        <v>31</v>
      </c>
      <c r="H198" s="0" t="n">
        <v>0.02</v>
      </c>
      <c r="I198" s="0" t="n">
        <v>-2.08720374107361</v>
      </c>
      <c r="J198" s="3" t="n">
        <f aca="false">(D198-INDEX(Summary!$C:$C,MATCH(B198,Summary!$A:$A,0)))*Summary!$B$9</f>
        <v>-0.0903679996890716</v>
      </c>
      <c r="K198" s="3" t="n">
        <f aca="false">(E198-INDEX(Summary!$D:$D,MATCH(B198,Summary!$A:$A,0)))*Summary!$B$9*COS(RADIANS(D198))</f>
        <v>-0.291619830518802</v>
      </c>
      <c r="L198" s="3" t="n">
        <f aca="false">SQRT(J198^2+K198^2)</f>
        <v>0.305300672976033</v>
      </c>
    </row>
    <row r="199" customFormat="false" ht="15" hidden="false" customHeight="false" outlineLevel="0" collapsed="false">
      <c r="A199" s="0" t="s">
        <v>16</v>
      </c>
      <c r="B199" s="0" t="s">
        <v>18</v>
      </c>
      <c r="C199" s="0" t="n">
        <v>139.527053869</v>
      </c>
      <c r="D199" s="2" t="n">
        <v>-34.9183365</v>
      </c>
      <c r="E199" s="2" t="n">
        <v>138.6055</v>
      </c>
      <c r="F199" s="0" t="n">
        <v>3</v>
      </c>
      <c r="G199" s="0" t="n">
        <v>31</v>
      </c>
      <c r="H199" s="0" t="n">
        <v>0.03</v>
      </c>
      <c r="I199" s="0" t="n">
        <v>-2.08704590797424</v>
      </c>
      <c r="J199" s="3" t="n">
        <f aca="false">(D199-INDEX(Summary!$C:$C,MATCH(B199,Summary!$A:$A,0)))*Summary!$B$9</f>
        <v>-0.112606999948959</v>
      </c>
      <c r="K199" s="3" t="n">
        <f aca="false">(E199-INDEX(Summary!$D:$D,MATCH(B199,Summary!$A:$A,0)))*Summary!$B$9*COS(RADIANS(D199))</f>
        <v>-0.27338454374144</v>
      </c>
      <c r="L199" s="3" t="n">
        <f aca="false">SQRT(J199^2+K199^2)</f>
        <v>0.295667795328169</v>
      </c>
    </row>
    <row r="200" customFormat="false" ht="15" hidden="false" customHeight="false" outlineLevel="0" collapsed="false">
      <c r="A200" s="0" t="s">
        <v>16</v>
      </c>
      <c r="B200" s="0" t="s">
        <v>18</v>
      </c>
      <c r="C200" s="0" t="n">
        <v>140.528328803</v>
      </c>
      <c r="D200" s="2" t="n">
        <v>-34.9183365</v>
      </c>
      <c r="E200" s="2" t="n">
        <v>138.6055004</v>
      </c>
      <c r="F200" s="0" t="n">
        <v>3</v>
      </c>
      <c r="G200" s="0" t="n">
        <v>31</v>
      </c>
      <c r="H200" s="0" t="n">
        <v>0.01</v>
      </c>
      <c r="I200" s="0" t="n">
        <v>-2.08691191673279</v>
      </c>
      <c r="J200" s="3" t="n">
        <f aca="false">(D200-INDEX(Summary!$C:$C,MATCH(B200,Summary!$A:$A,0)))*Summary!$B$9</f>
        <v>-0.112606999948959</v>
      </c>
      <c r="K200" s="3" t="n">
        <f aca="false">(E200-INDEX(Summary!$D:$D,MATCH(B200,Summary!$A:$A,0)))*Summary!$B$9*COS(RADIANS(D200))</f>
        <v>-0.23691397419933</v>
      </c>
      <c r="L200" s="3" t="n">
        <f aca="false">SQRT(J200^2+K200^2)</f>
        <v>0.262313872314115</v>
      </c>
    </row>
    <row r="201" customFormat="false" ht="15" hidden="false" customHeight="false" outlineLevel="0" collapsed="false">
      <c r="A201" s="0" t="s">
        <v>16</v>
      </c>
      <c r="B201" s="0" t="s">
        <v>18</v>
      </c>
      <c r="C201" s="0" t="n">
        <v>141.529709719</v>
      </c>
      <c r="D201" s="2" t="n">
        <v>-34.9183366</v>
      </c>
      <c r="E201" s="2" t="n">
        <v>138.6055005</v>
      </c>
      <c r="F201" s="0" t="n">
        <v>3</v>
      </c>
      <c r="G201" s="0" t="n">
        <v>32</v>
      </c>
      <c r="H201" s="0" t="n">
        <v>0.0223606797749979</v>
      </c>
      <c r="I201" s="0" t="n">
        <v>-2.08680129051209</v>
      </c>
      <c r="J201" s="3" t="n">
        <f aca="false">(D201-INDEX(Summary!$C:$C,MATCH(B201,Summary!$A:$A,0)))*Summary!$B$9</f>
        <v>-0.123726500078902</v>
      </c>
      <c r="K201" s="3" t="n">
        <f aca="false">(E201-INDEX(Summary!$D:$D,MATCH(B201,Summary!$A:$A,0)))*Summary!$B$9*COS(RADIANS(D201))</f>
        <v>-0.227796332184106</v>
      </c>
      <c r="L201" s="3" t="n">
        <f aca="false">SQRT(J201^2+K201^2)</f>
        <v>0.259228501091809</v>
      </c>
    </row>
    <row r="202" customFormat="false" ht="15" hidden="false" customHeight="false" outlineLevel="0" collapsed="false">
      <c r="A202" s="0" t="s">
        <v>16</v>
      </c>
      <c r="B202" s="0" t="s">
        <v>18</v>
      </c>
      <c r="C202" s="0" t="n">
        <v>142.530968134</v>
      </c>
      <c r="D202" s="2" t="n">
        <v>-34.9183366</v>
      </c>
      <c r="E202" s="2" t="n">
        <v>138.6055004</v>
      </c>
      <c r="F202" s="0" t="n">
        <v>3</v>
      </c>
      <c r="G202" s="0" t="n">
        <v>32</v>
      </c>
      <c r="H202" s="0" t="n">
        <v>0.01</v>
      </c>
      <c r="I202" s="0" t="n">
        <v>-2.08666372299194</v>
      </c>
      <c r="J202" s="3" t="n">
        <f aca="false">(D202-INDEX(Summary!$C:$C,MATCH(B202,Summary!$A:$A,0)))*Summary!$B$9</f>
        <v>-0.123726500078902</v>
      </c>
      <c r="K202" s="3" t="n">
        <f aca="false">(E202-INDEX(Summary!$D:$D,MATCH(B202,Summary!$A:$A,0)))*Summary!$B$9*COS(RADIANS(D202))</f>
        <v>-0.236913973910677</v>
      </c>
      <c r="L202" s="3" t="n">
        <f aca="false">SQRT(J202^2+K202^2)</f>
        <v>0.26727603307428</v>
      </c>
    </row>
    <row r="203" customFormat="false" ht="15" hidden="false" customHeight="false" outlineLevel="0" collapsed="false">
      <c r="A203" s="0" t="s">
        <v>16</v>
      </c>
      <c r="B203" s="0" t="s">
        <v>18</v>
      </c>
      <c r="C203" s="0" t="n">
        <v>143.532260346</v>
      </c>
      <c r="D203" s="2" t="n">
        <v>-34.9183364</v>
      </c>
      <c r="E203" s="2" t="n">
        <v>138.6055003</v>
      </c>
      <c r="F203" s="0" t="n">
        <v>3</v>
      </c>
      <c r="G203" s="0" t="n">
        <v>31</v>
      </c>
      <c r="H203" s="0" t="n">
        <v>0.01</v>
      </c>
      <c r="I203" s="0" t="n">
        <v>-2.08655595779419</v>
      </c>
      <c r="J203" s="3" t="n">
        <f aca="false">(D203-INDEX(Summary!$C:$C,MATCH(B203,Summary!$A:$A,0)))*Summary!$B$9</f>
        <v>-0.101487499819015</v>
      </c>
      <c r="K203" s="3" t="n">
        <f aca="false">(E203-INDEX(Summary!$D:$D,MATCH(B203,Summary!$A:$A,0)))*Summary!$B$9*COS(RADIANS(D203))</f>
        <v>-0.246031618828162</v>
      </c>
      <c r="L203" s="3" t="n">
        <f aca="false">SQRT(J203^2+K203^2)</f>
        <v>0.266141447510005</v>
      </c>
    </row>
    <row r="204" customFormat="false" ht="15" hidden="false" customHeight="false" outlineLevel="0" collapsed="false">
      <c r="A204" s="0" t="s">
        <v>16</v>
      </c>
      <c r="B204" s="0" t="s">
        <v>18</v>
      </c>
      <c r="C204" s="0" t="n">
        <v>144.533591909</v>
      </c>
      <c r="D204" s="2" t="n">
        <v>-34.9183363</v>
      </c>
      <c r="E204" s="2" t="n">
        <v>138.6055003</v>
      </c>
      <c r="F204" s="0" t="n">
        <v>3</v>
      </c>
      <c r="G204" s="0" t="n">
        <v>32</v>
      </c>
      <c r="H204" s="0" t="n">
        <v>0.01</v>
      </c>
      <c r="I204" s="0" t="n">
        <v>-2.08646869659424</v>
      </c>
      <c r="J204" s="3" t="n">
        <f aca="false">(D204-INDEX(Summary!$C:$C,MATCH(B204,Summary!$A:$A,0)))*Summary!$B$9</f>
        <v>-0.0903679996890716</v>
      </c>
      <c r="K204" s="3" t="n">
        <f aca="false">(E204-INDEX(Summary!$D:$D,MATCH(B204,Summary!$A:$A,0)))*Summary!$B$9*COS(RADIANS(D204))</f>
        <v>-0.246031619127924</v>
      </c>
      <c r="L204" s="3" t="n">
        <f aca="false">SQRT(J204^2+K204^2)</f>
        <v>0.262102905322532</v>
      </c>
    </row>
    <row r="205" customFormat="false" ht="15" hidden="false" customHeight="false" outlineLevel="0" collapsed="false">
      <c r="A205" s="0" t="s">
        <v>16</v>
      </c>
      <c r="B205" s="0" t="s">
        <v>18</v>
      </c>
      <c r="C205" s="0" t="n">
        <v>145.535102046</v>
      </c>
      <c r="D205" s="2" t="n">
        <v>-34.9183362</v>
      </c>
      <c r="E205" s="2" t="n">
        <v>138.6055002</v>
      </c>
      <c r="F205" s="0" t="n">
        <v>3</v>
      </c>
      <c r="G205" s="0" t="n">
        <v>31</v>
      </c>
      <c r="H205" s="0" t="n">
        <v>0.01</v>
      </c>
      <c r="I205" s="0" t="n">
        <v>-2.08627438545227</v>
      </c>
      <c r="J205" s="3" t="n">
        <f aca="false">(D205-INDEX(Summary!$C:$C,MATCH(B205,Summary!$A:$A,0)))*Summary!$B$9</f>
        <v>-0.0792484995591281</v>
      </c>
      <c r="K205" s="3" t="n">
        <f aca="false">(E205-INDEX(Summary!$D:$D,MATCH(B205,Summary!$A:$A,0)))*Summary!$B$9*COS(RADIANS(D205))</f>
        <v>-0.255149261198693</v>
      </c>
      <c r="L205" s="3" t="n">
        <f aca="false">SQRT(J205^2+K205^2)</f>
        <v>0.267173108999787</v>
      </c>
    </row>
    <row r="206" customFormat="false" ht="15" hidden="false" customHeight="false" outlineLevel="0" collapsed="false">
      <c r="A206" s="0" t="s">
        <v>16</v>
      </c>
      <c r="B206" s="0" t="s">
        <v>18</v>
      </c>
      <c r="C206" s="0" t="n">
        <v>146.53675872</v>
      </c>
      <c r="D206" s="2" t="n">
        <v>-34.9183361</v>
      </c>
      <c r="E206" s="2" t="n">
        <v>138.6055</v>
      </c>
      <c r="F206" s="0" t="n">
        <v>3</v>
      </c>
      <c r="G206" s="0" t="n">
        <v>31</v>
      </c>
      <c r="H206" s="0" t="n">
        <v>0.014142135623731</v>
      </c>
      <c r="I206" s="0" t="n">
        <v>-2.08619356155396</v>
      </c>
      <c r="J206" s="3" t="n">
        <f aca="false">(D206-INDEX(Summary!$C:$C,MATCH(B206,Summary!$A:$A,0)))*Summary!$B$9</f>
        <v>-0.0681289994291845</v>
      </c>
      <c r="K206" s="3" t="n">
        <f aca="false">(E206-INDEX(Summary!$D:$D,MATCH(B206,Summary!$A:$A,0)))*Summary!$B$9*COS(RADIANS(D206))</f>
        <v>-0.273384545073795</v>
      </c>
      <c r="L206" s="3" t="n">
        <f aca="false">SQRT(J206^2+K206^2)</f>
        <v>0.28174575426868</v>
      </c>
    </row>
    <row r="207" customFormat="false" ht="15" hidden="false" customHeight="false" outlineLevel="0" collapsed="false">
      <c r="A207" s="0" t="s">
        <v>16</v>
      </c>
      <c r="B207" s="0" t="s">
        <v>18</v>
      </c>
      <c r="C207" s="0" t="n">
        <v>147.538244635</v>
      </c>
      <c r="D207" s="2" t="n">
        <v>-34.9183359</v>
      </c>
      <c r="E207" s="2" t="n">
        <v>138.6054998</v>
      </c>
      <c r="F207" s="0" t="n">
        <v>3</v>
      </c>
      <c r="G207" s="0" t="n">
        <v>31</v>
      </c>
      <c r="H207" s="0" t="n">
        <v>0.0282842712474619</v>
      </c>
      <c r="I207" s="0" t="n">
        <v>-2.08611369132996</v>
      </c>
      <c r="J207" s="3" t="n">
        <f aca="false">(D207-INDEX(Summary!$C:$C,MATCH(B207,Summary!$A:$A,0)))*Summary!$B$9</f>
        <v>-0.0458899999593854</v>
      </c>
      <c r="K207" s="3" t="n">
        <f aca="false">(E207-INDEX(Summary!$D:$D,MATCH(B207,Summary!$A:$A,0)))*Summary!$B$9*COS(RADIANS(D207))</f>
        <v>-0.291619831940028</v>
      </c>
      <c r="L207" s="3" t="n">
        <f aca="false">SQRT(J207^2+K207^2)</f>
        <v>0.295208432259315</v>
      </c>
    </row>
    <row r="208" customFormat="false" ht="15" hidden="false" customHeight="false" outlineLevel="0" collapsed="false">
      <c r="A208" s="0" t="s">
        <v>16</v>
      </c>
      <c r="B208" s="0" t="s">
        <v>18</v>
      </c>
      <c r="C208" s="0" t="n">
        <v>148.53972618</v>
      </c>
      <c r="D208" s="2" t="n">
        <v>-34.9183357</v>
      </c>
      <c r="E208" s="2" t="n">
        <v>138.6054996</v>
      </c>
      <c r="F208" s="0" t="n">
        <v>3</v>
      </c>
      <c r="G208" s="0" t="n">
        <v>32</v>
      </c>
      <c r="H208" s="0" t="n">
        <v>0.014142135623731</v>
      </c>
      <c r="I208" s="0" t="n">
        <v>-2.08599662780762</v>
      </c>
      <c r="J208" s="3" t="n">
        <f aca="false">(D208-INDEX(Summary!$C:$C,MATCH(B208,Summary!$A:$A,0)))*Summary!$B$9</f>
        <v>-0.0236509996994982</v>
      </c>
      <c r="K208" s="3" t="n">
        <f aca="false">(E208-INDEX(Summary!$D:$D,MATCH(B208,Summary!$A:$A,0)))*Summary!$B$9*COS(RADIANS(D208))</f>
        <v>-0.309855116303742</v>
      </c>
      <c r="L208" s="3" t="n">
        <f aca="false">SQRT(J208^2+K208^2)</f>
        <v>0.31075643659688</v>
      </c>
    </row>
    <row r="209" customFormat="false" ht="15" hidden="false" customHeight="false" outlineLevel="0" collapsed="false">
      <c r="A209" s="0" t="s">
        <v>16</v>
      </c>
      <c r="B209" s="0" t="s">
        <v>18</v>
      </c>
      <c r="C209" s="0" t="n">
        <v>149.541225243</v>
      </c>
      <c r="D209" s="2" t="n">
        <v>-34.9183356</v>
      </c>
      <c r="E209" s="2" t="n">
        <v>138.6054996</v>
      </c>
      <c r="F209" s="0" t="n">
        <v>3</v>
      </c>
      <c r="G209" s="0" t="n">
        <v>32</v>
      </c>
      <c r="H209" s="0" t="n">
        <v>0.014142135623731</v>
      </c>
      <c r="I209" s="0" t="n">
        <v>-2.08591413497925</v>
      </c>
      <c r="J209" s="3" t="n">
        <f aca="false">(D209-INDEX(Summary!$C:$C,MATCH(B209,Summary!$A:$A,0)))*Summary!$B$9</f>
        <v>-0.0125314995695547</v>
      </c>
      <c r="K209" s="3" t="n">
        <f aca="false">(E209-INDEX(Summary!$D:$D,MATCH(B209,Summary!$A:$A,0)))*Summary!$B$9*COS(RADIANS(D209))</f>
        <v>-0.309855116681266</v>
      </c>
      <c r="L209" s="3" t="n">
        <f aca="false">SQRT(J209^2+K209^2)</f>
        <v>0.310108419452008</v>
      </c>
    </row>
    <row r="210" customFormat="false" ht="15" hidden="false" customHeight="false" outlineLevel="0" collapsed="false">
      <c r="A210" s="0" t="s">
        <v>16</v>
      </c>
      <c r="B210" s="0" t="s">
        <v>18</v>
      </c>
      <c r="C210" s="0" t="n">
        <v>150.542536529</v>
      </c>
      <c r="D210" s="2" t="n">
        <v>-34.9183355</v>
      </c>
      <c r="E210" s="2" t="n">
        <v>138.6054995</v>
      </c>
      <c r="F210" s="0" t="n">
        <v>3</v>
      </c>
      <c r="G210" s="0" t="n">
        <v>32</v>
      </c>
      <c r="H210" s="0" t="n">
        <v>0.014142135623731</v>
      </c>
      <c r="I210" s="0" t="n">
        <v>-2.08583450317383</v>
      </c>
      <c r="J210" s="3" t="n">
        <f aca="false">(D210-INDEX(Summary!$C:$C,MATCH(B210,Summary!$A:$A,0)))*Summary!$B$9</f>
        <v>-0.00141199943961112</v>
      </c>
      <c r="K210" s="3" t="n">
        <f aca="false">(E210-INDEX(Summary!$D:$D,MATCH(B210,Summary!$A:$A,0)))*Summary!$B$9*COS(RADIANS(D210))</f>
        <v>-0.318972758907558</v>
      </c>
      <c r="L210" s="3" t="n">
        <f aca="false">SQRT(J210^2+K210^2)</f>
        <v>0.318975884147245</v>
      </c>
    </row>
    <row r="211" customFormat="false" ht="15" hidden="false" customHeight="false" outlineLevel="0" collapsed="false">
      <c r="A211" s="0" t="s">
        <v>16</v>
      </c>
      <c r="B211" s="0" t="s">
        <v>18</v>
      </c>
      <c r="C211" s="0" t="n">
        <v>151.543890037</v>
      </c>
      <c r="D211" s="2" t="n">
        <v>-34.9183354</v>
      </c>
      <c r="E211" s="2" t="n">
        <v>138.6054992</v>
      </c>
      <c r="F211" s="0" t="n">
        <v>3</v>
      </c>
      <c r="G211" s="0" t="n">
        <v>32</v>
      </c>
      <c r="H211" s="0" t="n">
        <v>0.014142135623731</v>
      </c>
      <c r="I211" s="0" t="n">
        <v>-2.08586382865906</v>
      </c>
      <c r="J211" s="3" t="n">
        <f aca="false">(D211-INDEX(Summary!$C:$C,MATCH(B211,Summary!$A:$A,0)))*Summary!$B$9</f>
        <v>0.00970750069033244</v>
      </c>
      <c r="K211" s="3" t="n">
        <f aca="false">(E211-INDEX(Summary!$D:$D,MATCH(B211,Summary!$A:$A,0)))*Summary!$B$9*COS(RADIANS(D211))</f>
        <v>-0.346325687467212</v>
      </c>
      <c r="L211" s="3" t="n">
        <f aca="false">SQRT(J211^2+K211^2)</f>
        <v>0.346461711260119</v>
      </c>
    </row>
    <row r="212" customFormat="false" ht="15" hidden="false" customHeight="false" outlineLevel="0" collapsed="false">
      <c r="A212" s="0" t="s">
        <v>16</v>
      </c>
      <c r="B212" s="0" t="s">
        <v>18</v>
      </c>
      <c r="C212" s="0" t="n">
        <v>152.545150045</v>
      </c>
      <c r="D212" s="2" t="n">
        <v>-34.9183353</v>
      </c>
      <c r="E212" s="2" t="n">
        <v>138.605499</v>
      </c>
      <c r="F212" s="0" t="n">
        <v>3</v>
      </c>
      <c r="G212" s="0" t="n">
        <v>32</v>
      </c>
      <c r="H212" s="0" t="n">
        <v>0.01</v>
      </c>
      <c r="I212" s="0" t="n">
        <v>-2.0858588218689</v>
      </c>
      <c r="J212" s="3" t="n">
        <f aca="false">(D212-INDEX(Summary!$C:$C,MATCH(B212,Summary!$A:$A,0)))*Summary!$B$9</f>
        <v>0.020827000030188</v>
      </c>
      <c r="K212" s="3" t="n">
        <f aca="false">(E212-INDEX(Summary!$D:$D,MATCH(B212,Summary!$A:$A,0)))*Summary!$B$9*COS(RADIANS(D212))</f>
        <v>-0.364560971631143</v>
      </c>
      <c r="L212" s="3" t="n">
        <f aca="false">SQRT(J212^2+K212^2)</f>
        <v>0.365155399750436</v>
      </c>
    </row>
    <row r="213" customFormat="false" ht="15" hidden="false" customHeight="false" outlineLevel="0" collapsed="false">
      <c r="A213" s="0" t="s">
        <v>16</v>
      </c>
      <c r="B213" s="0" t="s">
        <v>18</v>
      </c>
      <c r="C213" s="0" t="n">
        <v>153.546421423</v>
      </c>
      <c r="D213" s="2" t="n">
        <v>-34.9183352</v>
      </c>
      <c r="E213" s="2" t="n">
        <v>138.605499</v>
      </c>
      <c r="F213" s="0" t="n">
        <v>3</v>
      </c>
      <c r="G213" s="0" t="n">
        <v>32</v>
      </c>
      <c r="H213" s="0" t="n">
        <v>0.01</v>
      </c>
      <c r="I213" s="0" t="n">
        <v>-2.08594179153442</v>
      </c>
      <c r="J213" s="3" t="n">
        <f aca="false">(D213-INDEX(Summary!$C:$C,MATCH(B213,Summary!$A:$A,0)))*Summary!$B$9</f>
        <v>0.0319465001601316</v>
      </c>
      <c r="K213" s="3" t="n">
        <f aca="false">(E213-INDEX(Summary!$D:$D,MATCH(B213,Summary!$A:$A,0)))*Summary!$B$9*COS(RADIANS(D213))</f>
        <v>-0.36456097207532</v>
      </c>
      <c r="L213" s="3" t="n">
        <f aca="false">SQRT(J213^2+K213^2)</f>
        <v>0.365958032065131</v>
      </c>
    </row>
    <row r="214" customFormat="false" ht="15" hidden="false" customHeight="false" outlineLevel="0" collapsed="false">
      <c r="A214" s="0" t="s">
        <v>16</v>
      </c>
      <c r="B214" s="0" t="s">
        <v>18</v>
      </c>
      <c r="C214" s="0" t="n">
        <v>154.547793764</v>
      </c>
      <c r="D214" s="2" t="n">
        <v>-34.9183351</v>
      </c>
      <c r="E214" s="2" t="n">
        <v>138.6054988</v>
      </c>
      <c r="F214" s="0" t="n">
        <v>3</v>
      </c>
      <c r="G214" s="0" t="n">
        <v>32</v>
      </c>
      <c r="H214" s="0" t="n">
        <v>0</v>
      </c>
      <c r="I214" s="0" t="n">
        <v>-2.08603692054749</v>
      </c>
      <c r="J214" s="3" t="n">
        <f aca="false">(D214-INDEX(Summary!$C:$C,MATCH(B214,Summary!$A:$A,0)))*Summary!$B$9</f>
        <v>0.0430660002900751</v>
      </c>
      <c r="K214" s="3" t="n">
        <f aca="false">(E214-INDEX(Summary!$D:$D,MATCH(B214,Summary!$A:$A,0)))*Summary!$B$9*COS(RADIANS(D214))</f>
        <v>-0.382796258897294</v>
      </c>
      <c r="L214" s="3" t="n">
        <f aca="false">SQRT(J214^2+K214^2)</f>
        <v>0.385211183906632</v>
      </c>
    </row>
    <row r="215" customFormat="false" ht="15" hidden="false" customHeight="false" outlineLevel="0" collapsed="false">
      <c r="A215" s="0" t="s">
        <v>16</v>
      </c>
      <c r="B215" s="0" t="s">
        <v>18</v>
      </c>
      <c r="C215" s="0" t="n">
        <v>155.549112754</v>
      </c>
      <c r="D215" s="2" t="n">
        <v>-34.918335</v>
      </c>
      <c r="E215" s="2" t="n">
        <v>138.6054986</v>
      </c>
      <c r="F215" s="0" t="n">
        <v>3</v>
      </c>
      <c r="G215" s="0" t="n">
        <v>32</v>
      </c>
      <c r="H215" s="0" t="n">
        <v>0.01</v>
      </c>
      <c r="I215" s="0" t="n">
        <v>-2.08605098724365</v>
      </c>
      <c r="J215" s="3" t="n">
        <f aca="false">(D215-INDEX(Summary!$C:$C,MATCH(B215,Summary!$A:$A,0)))*Summary!$B$9</f>
        <v>0.0541855004200187</v>
      </c>
      <c r="K215" s="3" t="n">
        <f aca="false">(E215-INDEX(Summary!$D:$D,MATCH(B215,Summary!$A:$A,0)))*Summary!$B$9*COS(RADIANS(D215))</f>
        <v>-0.401031543172314</v>
      </c>
      <c r="L215" s="3" t="n">
        <f aca="false">SQRT(J215^2+K215^2)</f>
        <v>0.404675631926282</v>
      </c>
    </row>
    <row r="216" customFormat="false" ht="15" hidden="false" customHeight="false" outlineLevel="0" collapsed="false">
      <c r="A216" s="0" t="s">
        <v>16</v>
      </c>
      <c r="B216" s="0" t="s">
        <v>18</v>
      </c>
      <c r="C216" s="0" t="n">
        <v>156.550630039</v>
      </c>
      <c r="D216" s="2" t="n">
        <v>-34.9183349</v>
      </c>
      <c r="E216" s="2" t="n">
        <v>138.6054984</v>
      </c>
      <c r="F216" s="0" t="n">
        <v>3</v>
      </c>
      <c r="G216" s="0" t="n">
        <v>31</v>
      </c>
      <c r="H216" s="0" t="n">
        <v>0</v>
      </c>
      <c r="I216" s="0" t="n">
        <v>-2.08602833747864</v>
      </c>
      <c r="J216" s="3" t="n">
        <f aca="false">(D216-INDEX(Summary!$C:$C,MATCH(B216,Summary!$A:$A,0)))*Summary!$B$9</f>
        <v>0.0653050005499622</v>
      </c>
      <c r="K216" s="3" t="n">
        <f aca="false">(E216-INDEX(Summary!$D:$D,MATCH(B216,Summary!$A:$A,0)))*Summary!$B$9*COS(RADIANS(D216))</f>
        <v>-0.419266830083159</v>
      </c>
      <c r="L216" s="3" t="n">
        <f aca="false">SQRT(J216^2+K216^2)</f>
        <v>0.424322304274488</v>
      </c>
    </row>
    <row r="217" customFormat="false" ht="15" hidden="false" customHeight="false" outlineLevel="0" collapsed="false">
      <c r="A217" s="0" t="s">
        <v>16</v>
      </c>
      <c r="B217" s="0" t="s">
        <v>18</v>
      </c>
      <c r="C217" s="0" t="n">
        <v>157.55209725</v>
      </c>
      <c r="D217" s="2" t="n">
        <v>-34.9183349</v>
      </c>
      <c r="E217" s="2" t="n">
        <v>138.6054983</v>
      </c>
      <c r="F217" s="0" t="n">
        <v>3</v>
      </c>
      <c r="G217" s="0" t="n">
        <v>32</v>
      </c>
      <c r="H217" s="0" t="n">
        <v>0</v>
      </c>
      <c r="I217" s="0" t="n">
        <v>-2.08607625961304</v>
      </c>
      <c r="J217" s="3" t="n">
        <f aca="false">(D217-INDEX(Summary!$C:$C,MATCH(B217,Summary!$A:$A,0)))*Summary!$B$9</f>
        <v>0.0653050005499622</v>
      </c>
      <c r="K217" s="3" t="n">
        <f aca="false">(E217-INDEX(Summary!$D:$D,MATCH(B217,Summary!$A:$A,0)))*Summary!$B$9*COS(RADIANS(D217))</f>
        <v>-0.42838447199858</v>
      </c>
      <c r="L217" s="3" t="n">
        <f aca="false">SQRT(J217^2+K217^2)</f>
        <v>0.433333588527745</v>
      </c>
    </row>
    <row r="218" customFormat="false" ht="15" hidden="false" customHeight="false" outlineLevel="0" collapsed="false">
      <c r="A218" s="0" t="s">
        <v>16</v>
      </c>
      <c r="B218" s="0" t="s">
        <v>18</v>
      </c>
      <c r="C218" s="0" t="n">
        <v>158.553511443</v>
      </c>
      <c r="D218" s="2" t="n">
        <v>-34.9183351</v>
      </c>
      <c r="E218" s="2" t="n">
        <v>138.6054983</v>
      </c>
      <c r="F218" s="0" t="n">
        <v>3</v>
      </c>
      <c r="G218" s="0" t="n">
        <v>32</v>
      </c>
      <c r="H218" s="0" t="n">
        <v>0</v>
      </c>
      <c r="I218" s="0" t="n">
        <v>-2.08620858192444</v>
      </c>
      <c r="J218" s="3" t="n">
        <f aca="false">(D218-INDEX(Summary!$C:$C,MATCH(B218,Summary!$A:$A,0)))*Summary!$B$9</f>
        <v>0.0430660002900751</v>
      </c>
      <c r="K218" s="3" t="n">
        <f aca="false">(E218-INDEX(Summary!$D:$D,MATCH(B218,Summary!$A:$A,0)))*Summary!$B$9*COS(RADIANS(D218))</f>
        <v>-0.428384470954702</v>
      </c>
      <c r="L218" s="3" t="n">
        <f aca="false">SQRT(J218^2+K218^2)</f>
        <v>0.430543767038991</v>
      </c>
    </row>
    <row r="219" customFormat="false" ht="15" hidden="false" customHeight="false" outlineLevel="0" collapsed="false">
      <c r="A219" s="0" t="s">
        <v>16</v>
      </c>
      <c r="B219" s="0" t="s">
        <v>18</v>
      </c>
      <c r="C219" s="0" t="n">
        <v>159.555047562</v>
      </c>
      <c r="D219" s="2" t="n">
        <v>-34.9183352</v>
      </c>
      <c r="E219" s="2" t="n">
        <v>138.6054983</v>
      </c>
      <c r="F219" s="0" t="n">
        <v>3</v>
      </c>
      <c r="G219" s="0" t="n">
        <v>32</v>
      </c>
      <c r="H219" s="0" t="n">
        <v>0.01</v>
      </c>
      <c r="I219" s="0" t="n">
        <v>-2.0862922668457</v>
      </c>
      <c r="J219" s="3" t="n">
        <f aca="false">(D219-INDEX(Summary!$C:$C,MATCH(B219,Summary!$A:$A,0)))*Summary!$B$9</f>
        <v>0.0319465001601316</v>
      </c>
      <c r="K219" s="3" t="n">
        <f aca="false">(E219-INDEX(Summary!$D:$D,MATCH(B219,Summary!$A:$A,0)))*Summary!$B$9*COS(RADIANS(D219))</f>
        <v>-0.428384470432763</v>
      </c>
      <c r="L219" s="3" t="n">
        <f aca="false">SQRT(J219^2+K219^2)</f>
        <v>0.429574013856099</v>
      </c>
    </row>
    <row r="220" customFormat="false" ht="15" hidden="false" customHeight="false" outlineLevel="0" collapsed="false">
      <c r="A220" s="0" t="s">
        <v>16</v>
      </c>
      <c r="B220" s="0" t="s">
        <v>18</v>
      </c>
      <c r="C220" s="0" t="n">
        <v>160.556375903</v>
      </c>
      <c r="D220" s="2" t="n">
        <v>-34.9183353</v>
      </c>
      <c r="E220" s="2" t="n">
        <v>138.6054981</v>
      </c>
      <c r="F220" s="0" t="n">
        <v>3</v>
      </c>
      <c r="G220" s="0" t="n">
        <v>32</v>
      </c>
      <c r="H220" s="0" t="n">
        <v>0.02</v>
      </c>
      <c r="I220" s="0" t="n">
        <v>-2.0863847732544</v>
      </c>
      <c r="J220" s="3" t="n">
        <f aca="false">(D220-INDEX(Summary!$C:$C,MATCH(B220,Summary!$A:$A,0)))*Summary!$B$9</f>
        <v>0.020827000030188</v>
      </c>
      <c r="K220" s="3" t="n">
        <f aca="false">(E220-INDEX(Summary!$D:$D,MATCH(B220,Summary!$A:$A,0)))*Summary!$B$9*COS(RADIANS(D220))</f>
        <v>-0.446619753652796</v>
      </c>
      <c r="L220" s="3" t="n">
        <f aca="false">SQRT(J220^2+K220^2)</f>
        <v>0.447105097581253</v>
      </c>
    </row>
    <row r="221" customFormat="false" ht="15" hidden="false" customHeight="false" outlineLevel="0" collapsed="false">
      <c r="A221" s="0" t="s">
        <v>16</v>
      </c>
      <c r="B221" s="0" t="s">
        <v>18</v>
      </c>
      <c r="C221" s="0" t="n">
        <v>161.557748337</v>
      </c>
      <c r="D221" s="2" t="n">
        <v>-34.9183355</v>
      </c>
      <c r="E221" s="2" t="n">
        <v>138.605498</v>
      </c>
      <c r="F221" s="0" t="n">
        <v>3</v>
      </c>
      <c r="G221" s="0" t="n">
        <v>32</v>
      </c>
      <c r="H221" s="0" t="n">
        <v>0.02</v>
      </c>
      <c r="I221" s="0" t="n">
        <v>-2.08645677566528</v>
      </c>
      <c r="J221" s="3" t="n">
        <f aca="false">(D221-INDEX(Summary!$C:$C,MATCH(B221,Summary!$A:$A,0)))*Summary!$B$9</f>
        <v>-0.00141199943961112</v>
      </c>
      <c r="K221" s="3" t="n">
        <f aca="false">(E221-INDEX(Summary!$D:$D,MATCH(B221,Summary!$A:$A,0)))*Summary!$B$9*COS(RADIANS(D221))</f>
        <v>-0.455737394413251</v>
      </c>
      <c r="L221" s="3" t="n">
        <f aca="false">SQRT(J221^2+K221^2)</f>
        <v>0.455739581788763</v>
      </c>
    </row>
    <row r="222" customFormat="false" ht="15" hidden="false" customHeight="false" outlineLevel="0" collapsed="false">
      <c r="A222" s="0" t="s">
        <v>16</v>
      </c>
      <c r="B222" s="0" t="s">
        <v>18</v>
      </c>
      <c r="C222" s="0" t="n">
        <v>162.559023104</v>
      </c>
      <c r="D222" s="2" t="n">
        <v>-34.9183356</v>
      </c>
      <c r="E222" s="2" t="n">
        <v>138.6054979</v>
      </c>
      <c r="F222" s="0" t="n">
        <v>3</v>
      </c>
      <c r="G222" s="0" t="n">
        <v>32</v>
      </c>
      <c r="H222" s="0" t="n">
        <v>0.01</v>
      </c>
      <c r="I222" s="0" t="n">
        <v>-2.08662128448486</v>
      </c>
      <c r="J222" s="3" t="n">
        <f aca="false">(D222-INDEX(Summary!$C:$C,MATCH(B222,Summary!$A:$A,0)))*Summary!$B$9</f>
        <v>-0.0125314995695547</v>
      </c>
      <c r="K222" s="3" t="n">
        <f aca="false">(E222-INDEX(Summary!$D:$D,MATCH(B222,Summary!$A:$A,0)))*Summary!$B$9*COS(RADIANS(D222))</f>
        <v>-0.464855038287035</v>
      </c>
      <c r="L222" s="3" t="n">
        <f aca="false">SQRT(J222^2+K222^2)</f>
        <v>0.465023918849668</v>
      </c>
    </row>
    <row r="223" customFormat="false" ht="15" hidden="false" customHeight="false" outlineLevel="0" collapsed="false">
      <c r="A223" s="0" t="s">
        <v>16</v>
      </c>
      <c r="B223" s="0" t="s">
        <v>18</v>
      </c>
      <c r="C223" s="0" t="n">
        <v>163.560265501</v>
      </c>
      <c r="D223" s="2" t="n">
        <v>-34.9183357</v>
      </c>
      <c r="E223" s="2" t="n">
        <v>138.605498</v>
      </c>
      <c r="F223" s="0" t="n">
        <v>3</v>
      </c>
      <c r="G223" s="0" t="n">
        <v>32</v>
      </c>
      <c r="H223" s="0" t="n">
        <v>0.02</v>
      </c>
      <c r="I223" s="0" t="n">
        <v>-2.08671855926514</v>
      </c>
      <c r="J223" s="3" t="n">
        <f aca="false">(D223-INDEX(Summary!$C:$C,MATCH(B223,Summary!$A:$A,0)))*Summary!$B$9</f>
        <v>-0.0236509996994982</v>
      </c>
      <c r="K223" s="3" t="n">
        <f aca="false">(E223-INDEX(Summary!$D:$D,MATCH(B223,Summary!$A:$A,0)))*Summary!$B$9*COS(RADIANS(D223))</f>
        <v>-0.45573739330272</v>
      </c>
      <c r="L223" s="3" t="n">
        <f aca="false">SQRT(J223^2+K223^2)</f>
        <v>0.456350678142526</v>
      </c>
    </row>
    <row r="224" customFormat="false" ht="15" hidden="false" customHeight="false" outlineLevel="0" collapsed="false">
      <c r="A224" s="0" t="s">
        <v>16</v>
      </c>
      <c r="B224" s="0" t="s">
        <v>18</v>
      </c>
      <c r="C224" s="0" t="n">
        <v>164.561604194</v>
      </c>
      <c r="D224" s="2" t="n">
        <v>-34.9183359</v>
      </c>
      <c r="E224" s="2" t="n">
        <v>138.605498</v>
      </c>
      <c r="F224" s="0" t="n">
        <v>3</v>
      </c>
      <c r="G224" s="0" t="n">
        <v>32</v>
      </c>
      <c r="H224" s="0" t="n">
        <v>0.02</v>
      </c>
      <c r="I224" s="0" t="n">
        <v>-2.08692049980164</v>
      </c>
      <c r="J224" s="3" t="n">
        <f aca="false">(D224-INDEX(Summary!$C:$C,MATCH(B224,Summary!$A:$A,0)))*Summary!$B$9</f>
        <v>-0.0458899999593854</v>
      </c>
      <c r="K224" s="3" t="n">
        <f aca="false">(E224-INDEX(Summary!$D:$D,MATCH(B224,Summary!$A:$A,0)))*Summary!$B$9*COS(RADIANS(D224))</f>
        <v>-0.455737392192189</v>
      </c>
      <c r="L224" s="3" t="n">
        <f aca="false">SQRT(J224^2+K224^2)</f>
        <v>0.458041987964433</v>
      </c>
    </row>
    <row r="225" customFormat="false" ht="15" hidden="false" customHeight="false" outlineLevel="0" collapsed="false">
      <c r="A225" s="0" t="s">
        <v>16</v>
      </c>
      <c r="B225" s="0" t="s">
        <v>18</v>
      </c>
      <c r="C225" s="0" t="n">
        <v>165.562901239</v>
      </c>
      <c r="D225" s="2" t="n">
        <v>-34.918336</v>
      </c>
      <c r="E225" s="2" t="n">
        <v>138.6054981</v>
      </c>
      <c r="F225" s="0" t="n">
        <v>3</v>
      </c>
      <c r="G225" s="0" t="n">
        <v>32</v>
      </c>
      <c r="H225" s="0" t="n">
        <v>0.02</v>
      </c>
      <c r="I225" s="0" t="n">
        <v>-2.08710622787476</v>
      </c>
      <c r="J225" s="3" t="n">
        <f aca="false">(D225-INDEX(Summary!$C:$C,MATCH(B225,Summary!$A:$A,0)))*Summary!$B$9</f>
        <v>-0.0570094992992409</v>
      </c>
      <c r="K225" s="3" t="n">
        <f aca="false">(E225-INDEX(Summary!$D:$D,MATCH(B225,Summary!$A:$A,0)))*Summary!$B$9*COS(RADIANS(D225))</f>
        <v>-0.4466197498437</v>
      </c>
      <c r="L225" s="3" t="n">
        <f aca="false">SQRT(J225^2+K225^2)</f>
        <v>0.450243582920178</v>
      </c>
    </row>
    <row r="226" customFormat="false" ht="15" hidden="false" customHeight="false" outlineLevel="0" collapsed="false">
      <c r="A226" s="0" t="s">
        <v>16</v>
      </c>
      <c r="B226" s="0" t="s">
        <v>18</v>
      </c>
      <c r="C226" s="0" t="n">
        <v>166.564364358</v>
      </c>
      <c r="D226" s="2" t="n">
        <v>-34.9183363</v>
      </c>
      <c r="E226" s="2" t="n">
        <v>138.6054983</v>
      </c>
      <c r="F226" s="0" t="n">
        <v>3</v>
      </c>
      <c r="G226" s="0" t="n">
        <v>32</v>
      </c>
      <c r="H226" s="0" t="n">
        <v>0.03</v>
      </c>
      <c r="I226" s="0" t="n">
        <v>-2.08726859092712</v>
      </c>
      <c r="J226" s="3" t="n">
        <f aca="false">(D226-INDEX(Summary!$C:$C,MATCH(B226,Summary!$A:$A,0)))*Summary!$B$9</f>
        <v>-0.0903679996890716</v>
      </c>
      <c r="K226" s="3" t="n">
        <f aca="false">(E226-INDEX(Summary!$D:$D,MATCH(B226,Summary!$A:$A,0)))*Summary!$B$9*COS(RADIANS(D226))</f>
        <v>-0.428384464691435</v>
      </c>
      <c r="L226" s="3" t="n">
        <f aca="false">SQRT(J226^2+K226^2)</f>
        <v>0.437812317045525</v>
      </c>
    </row>
    <row r="227" customFormat="false" ht="15" hidden="false" customHeight="false" outlineLevel="0" collapsed="false">
      <c r="A227" s="0" t="s">
        <v>16</v>
      </c>
      <c r="B227" s="0" t="s">
        <v>18</v>
      </c>
      <c r="C227" s="0" t="n">
        <v>167.565814995</v>
      </c>
      <c r="D227" s="2" t="n">
        <v>-34.9183365</v>
      </c>
      <c r="E227" s="2" t="n">
        <v>138.6054983</v>
      </c>
      <c r="F227" s="0" t="n">
        <v>3</v>
      </c>
      <c r="G227" s="0" t="n">
        <v>32</v>
      </c>
      <c r="H227" s="0" t="n">
        <v>0.02</v>
      </c>
      <c r="I227" s="0" t="n">
        <v>-2.08738470077515</v>
      </c>
      <c r="J227" s="3" t="n">
        <f aca="false">(D227-INDEX(Summary!$C:$C,MATCH(B227,Summary!$A:$A,0)))*Summary!$B$9</f>
        <v>-0.112606999948959</v>
      </c>
      <c r="K227" s="3" t="n">
        <f aca="false">(E227-INDEX(Summary!$D:$D,MATCH(B227,Summary!$A:$A,0)))*Summary!$B$9*COS(RADIANS(D227))</f>
        <v>-0.428384463647557</v>
      </c>
      <c r="L227" s="3" t="n">
        <f aca="false">SQRT(J227^2+K227^2)</f>
        <v>0.442937450586547</v>
      </c>
    </row>
    <row r="228" customFormat="false" ht="15" hidden="false" customHeight="false" outlineLevel="0" collapsed="false">
      <c r="A228" s="0" t="s">
        <v>16</v>
      </c>
      <c r="B228" s="0" t="s">
        <v>18</v>
      </c>
      <c r="C228" s="0" t="n">
        <v>168.567235892</v>
      </c>
      <c r="D228" s="2" t="n">
        <v>-34.9183366</v>
      </c>
      <c r="E228" s="2" t="n">
        <v>138.6054982</v>
      </c>
      <c r="F228" s="0" t="n">
        <v>3</v>
      </c>
      <c r="G228" s="0" t="n">
        <v>32</v>
      </c>
      <c r="H228" s="0" t="n">
        <v>0.01</v>
      </c>
      <c r="I228" s="0" t="n">
        <v>-2.0875301361084</v>
      </c>
      <c r="J228" s="3" t="n">
        <f aca="false">(D228-INDEX(Summary!$C:$C,MATCH(B228,Summary!$A:$A,0)))*Summary!$B$9</f>
        <v>-0.123726500078902</v>
      </c>
      <c r="K228" s="3" t="n">
        <f aca="false">(E228-INDEX(Summary!$D:$D,MATCH(B228,Summary!$A:$A,0)))*Summary!$B$9*COS(RADIANS(D228))</f>
        <v>-0.437502104852189</v>
      </c>
      <c r="L228" s="3" t="n">
        <f aca="false">SQRT(J228^2+K228^2)</f>
        <v>0.454660685095897</v>
      </c>
    </row>
    <row r="229" customFormat="false" ht="15" hidden="false" customHeight="false" outlineLevel="0" collapsed="false">
      <c r="A229" s="0" t="s">
        <v>16</v>
      </c>
      <c r="B229" s="0" t="s">
        <v>18</v>
      </c>
      <c r="C229" s="0" t="n">
        <v>169.568718381</v>
      </c>
      <c r="D229" s="2" t="n">
        <v>-34.9183366</v>
      </c>
      <c r="E229" s="2" t="n">
        <v>138.6054985</v>
      </c>
      <c r="F229" s="0" t="n">
        <v>3</v>
      </c>
      <c r="G229" s="0" t="n">
        <v>32</v>
      </c>
      <c r="H229" s="0" t="n">
        <v>0</v>
      </c>
      <c r="I229" s="0" t="n">
        <v>-2.08753776550293</v>
      </c>
      <c r="J229" s="3" t="n">
        <f aca="false">(D229-INDEX(Summary!$C:$C,MATCH(B229,Summary!$A:$A,0)))*Summary!$B$9</f>
        <v>-0.123726500078902</v>
      </c>
      <c r="K229" s="3" t="n">
        <f aca="false">(E229-INDEX(Summary!$D:$D,MATCH(B229,Summary!$A:$A,0)))*Summary!$B$9*COS(RADIANS(D229))</f>
        <v>-0.410149177081086</v>
      </c>
      <c r="L229" s="3" t="n">
        <f aca="false">SQRT(J229^2+K229^2)</f>
        <v>0.428404708519954</v>
      </c>
    </row>
    <row r="230" customFormat="false" ht="15" hidden="false" customHeight="false" outlineLevel="0" collapsed="false">
      <c r="A230" s="0" t="s">
        <v>16</v>
      </c>
      <c r="B230" s="0" t="s">
        <v>18</v>
      </c>
      <c r="C230" s="0" t="n">
        <v>170.57019537</v>
      </c>
      <c r="D230" s="2" t="n">
        <v>-34.9183367</v>
      </c>
      <c r="E230" s="2" t="n">
        <v>138.605499</v>
      </c>
      <c r="F230" s="0" t="n">
        <v>3</v>
      </c>
      <c r="G230" s="0" t="n">
        <v>32</v>
      </c>
      <c r="H230" s="0" t="n">
        <v>0.01</v>
      </c>
      <c r="I230" s="0" t="n">
        <v>-2.08767533302307</v>
      </c>
      <c r="J230" s="3" t="n">
        <f aca="false">(D230-INDEX(Summary!$C:$C,MATCH(B230,Summary!$A:$A,0)))*Summary!$B$9</f>
        <v>-0.134845999418758</v>
      </c>
      <c r="K230" s="3" t="n">
        <f aca="false">(E230-INDEX(Summary!$D:$D,MATCH(B230,Summary!$A:$A,0)))*Summary!$B$9*COS(RADIANS(D230))</f>
        <v>-0.364560965412664</v>
      </c>
      <c r="L230" s="3" t="n">
        <f aca="false">SQRT(J230^2+K230^2)</f>
        <v>0.388700580218061</v>
      </c>
    </row>
    <row r="231" customFormat="false" ht="15" hidden="false" customHeight="false" outlineLevel="0" collapsed="false">
      <c r="A231" s="0" t="s">
        <v>16</v>
      </c>
      <c r="B231" s="0" t="s">
        <v>18</v>
      </c>
      <c r="C231" s="0" t="n">
        <v>171.571602156</v>
      </c>
      <c r="D231" s="2" t="n">
        <v>-34.9183369</v>
      </c>
      <c r="E231" s="2" t="n">
        <v>138.6054994</v>
      </c>
      <c r="F231" s="0" t="n">
        <v>3</v>
      </c>
      <c r="G231" s="0" t="n">
        <v>32</v>
      </c>
      <c r="H231" s="0" t="n">
        <v>0.01</v>
      </c>
      <c r="I231" s="0" t="n">
        <v>-2.08787488937378</v>
      </c>
      <c r="J231" s="3" t="n">
        <f aca="false">(D231-INDEX(Summary!$C:$C,MATCH(B231,Summary!$A:$A,0)))*Summary!$B$9</f>
        <v>-0.157084999678645</v>
      </c>
      <c r="K231" s="3" t="n">
        <f aca="false">(E231-INDEX(Summary!$D:$D,MATCH(B231,Summary!$A:$A,0)))*Summary!$B$9*COS(RADIANS(D231))</f>
        <v>-0.328090395159942</v>
      </c>
      <c r="L231" s="3" t="n">
        <f aca="false">SQRT(J231^2+K231^2)</f>
        <v>0.363756793091547</v>
      </c>
    </row>
    <row r="232" customFormat="false" ht="15" hidden="false" customHeight="false" outlineLevel="0" collapsed="false">
      <c r="A232" s="0" t="s">
        <v>16</v>
      </c>
      <c r="B232" s="0" t="s">
        <v>18</v>
      </c>
      <c r="C232" s="0" t="n">
        <v>172.572865219</v>
      </c>
      <c r="D232" s="2" t="n">
        <v>-34.9183369</v>
      </c>
      <c r="E232" s="2" t="n">
        <v>138.6054998</v>
      </c>
      <c r="F232" s="0" t="n">
        <v>3</v>
      </c>
      <c r="G232" s="0" t="n">
        <v>32</v>
      </c>
      <c r="H232" s="0" t="n">
        <v>0.02</v>
      </c>
      <c r="I232" s="0" t="n">
        <v>-2.08807849884033</v>
      </c>
      <c r="J232" s="3" t="n">
        <f aca="false">(D232-INDEX(Summary!$C:$C,MATCH(B232,Summary!$A:$A,0)))*Summary!$B$9</f>
        <v>-0.157084999678645</v>
      </c>
      <c r="K232" s="3" t="n">
        <f aca="false">(E232-INDEX(Summary!$D:$D,MATCH(B232,Summary!$A:$A,0)))*Summary!$B$9*COS(RADIANS(D232))</f>
        <v>-0.291619828386963</v>
      </c>
      <c r="L232" s="3" t="n">
        <f aca="false">SQRT(J232^2+K232^2)</f>
        <v>0.331236805673044</v>
      </c>
    </row>
    <row r="233" customFormat="false" ht="15" hidden="false" customHeight="false" outlineLevel="0" collapsed="false">
      <c r="A233" s="0" t="s">
        <v>16</v>
      </c>
      <c r="B233" s="0" t="s">
        <v>18</v>
      </c>
      <c r="C233" s="0" t="n">
        <v>173.574290653</v>
      </c>
      <c r="D233" s="2" t="n">
        <v>-34.9183371</v>
      </c>
      <c r="E233" s="2" t="n">
        <v>138.6055002</v>
      </c>
      <c r="F233" s="0" t="n">
        <v>3</v>
      </c>
      <c r="G233" s="0" t="n">
        <v>32</v>
      </c>
      <c r="H233" s="0" t="n">
        <v>0.0223606797749979</v>
      </c>
      <c r="I233" s="0" t="n">
        <v>-2.08825922012329</v>
      </c>
      <c r="J233" s="3" t="n">
        <f aca="false">(D233-INDEX(Summary!$C:$C,MATCH(B233,Summary!$A:$A,0)))*Summary!$B$9</f>
        <v>-0.179323999938532</v>
      </c>
      <c r="K233" s="3" t="n">
        <f aca="false">(E233-INDEX(Summary!$D:$D,MATCH(B233,Summary!$A:$A,0)))*Summary!$B$9*COS(RADIANS(D233))</f>
        <v>-0.255149258400853</v>
      </c>
      <c r="L233" s="3" t="n">
        <f aca="false">SQRT(J233^2+K233^2)</f>
        <v>0.311862535448649</v>
      </c>
    </row>
    <row r="234" customFormat="false" ht="15" hidden="false" customHeight="false" outlineLevel="0" collapsed="false">
      <c r="A234" s="0" t="s">
        <v>16</v>
      </c>
      <c r="B234" s="0" t="s">
        <v>18</v>
      </c>
      <c r="C234" s="0" t="n">
        <v>174.575597513</v>
      </c>
      <c r="D234" s="2" t="n">
        <v>-34.9183371</v>
      </c>
      <c r="E234" s="2" t="n">
        <v>138.6055003</v>
      </c>
      <c r="F234" s="0" t="n">
        <v>3</v>
      </c>
      <c r="G234" s="0" t="n">
        <v>32</v>
      </c>
      <c r="H234" s="0" t="n">
        <v>0.01</v>
      </c>
      <c r="I234" s="0" t="n">
        <v>-2.0884256362915</v>
      </c>
      <c r="J234" s="3" t="n">
        <f aca="false">(D234-INDEX(Summary!$C:$C,MATCH(B234,Summary!$A:$A,0)))*Summary!$B$9</f>
        <v>-0.179323999938532</v>
      </c>
      <c r="K234" s="3" t="n">
        <f aca="false">(E234-INDEX(Summary!$D:$D,MATCH(B234,Summary!$A:$A,0)))*Summary!$B$9*COS(RADIANS(D234))</f>
        <v>-0.246031616729826</v>
      </c>
      <c r="L234" s="3" t="n">
        <f aca="false">SQRT(J234^2+K234^2)</f>
        <v>0.304448112795345</v>
      </c>
    </row>
    <row r="235" customFormat="false" ht="15" hidden="false" customHeight="false" outlineLevel="0" collapsed="false">
      <c r="A235" s="0" t="s">
        <v>16</v>
      </c>
      <c r="B235" s="0" t="s">
        <v>18</v>
      </c>
      <c r="C235" s="0" t="n">
        <v>175.576925076</v>
      </c>
      <c r="D235" s="2" t="n">
        <v>-34.9183372</v>
      </c>
      <c r="E235" s="2" t="n">
        <v>138.6055005</v>
      </c>
      <c r="F235" s="0" t="n">
        <v>3</v>
      </c>
      <c r="G235" s="0" t="n">
        <v>32</v>
      </c>
      <c r="H235" s="0" t="n">
        <v>0</v>
      </c>
      <c r="I235" s="0" t="n">
        <v>-2.08849763870239</v>
      </c>
      <c r="J235" s="3" t="n">
        <f aca="false">(D235-INDEX(Summary!$C:$C,MATCH(B235,Summary!$A:$A,0)))*Summary!$B$9</f>
        <v>-0.190443500068476</v>
      </c>
      <c r="K235" s="3" t="n">
        <f aca="false">(E235-INDEX(Summary!$D:$D,MATCH(B235,Summary!$A:$A,0)))*Summary!$B$9*COS(RADIANS(D235))</f>
        <v>-0.227796330518838</v>
      </c>
      <c r="L235" s="3" t="n">
        <f aca="false">SQRT(J235^2+K235^2)</f>
        <v>0.296917320000332</v>
      </c>
    </row>
    <row r="236" customFormat="false" ht="15" hidden="false" customHeight="false" outlineLevel="0" collapsed="false">
      <c r="A236" s="0" t="s">
        <v>16</v>
      </c>
      <c r="B236" s="0" t="s">
        <v>18</v>
      </c>
      <c r="C236" s="0" t="n">
        <v>176.578239158</v>
      </c>
      <c r="D236" s="2" t="n">
        <v>-34.9183371</v>
      </c>
      <c r="E236" s="2" t="n">
        <v>138.6055006</v>
      </c>
      <c r="F236" s="0" t="n">
        <v>3</v>
      </c>
      <c r="G236" s="0" t="n">
        <v>32</v>
      </c>
      <c r="H236" s="0" t="n">
        <v>0.01</v>
      </c>
      <c r="I236" s="0" t="n">
        <v>-2.08862519264221</v>
      </c>
      <c r="J236" s="3" t="n">
        <f aca="false">(D236-INDEX(Summary!$C:$C,MATCH(B236,Summary!$A:$A,0)))*Summary!$B$9</f>
        <v>-0.179323999938532</v>
      </c>
      <c r="K236" s="3" t="n">
        <f aca="false">(E236-INDEX(Summary!$D:$D,MATCH(B236,Summary!$A:$A,0)))*Summary!$B$9*COS(RADIANS(D236))</f>
        <v>-0.218678689125356</v>
      </c>
      <c r="L236" s="3" t="n">
        <f aca="false">SQRT(J236^2+K236^2)</f>
        <v>0.282802874864346</v>
      </c>
    </row>
    <row r="237" customFormat="false" ht="15" hidden="false" customHeight="false" outlineLevel="0" collapsed="false">
      <c r="A237" s="0" t="s">
        <v>16</v>
      </c>
      <c r="B237" s="0" t="s">
        <v>18</v>
      </c>
      <c r="C237" s="0" t="n">
        <v>177.579892999</v>
      </c>
      <c r="D237" s="2" t="n">
        <v>-34.9183372</v>
      </c>
      <c r="E237" s="2" t="n">
        <v>138.6055007</v>
      </c>
      <c r="F237" s="0" t="n">
        <v>3</v>
      </c>
      <c r="G237" s="0" t="n">
        <v>32</v>
      </c>
      <c r="H237" s="0" t="n">
        <v>0.01</v>
      </c>
      <c r="I237" s="0" t="n">
        <v>-2.08877444267273</v>
      </c>
      <c r="J237" s="3" t="n">
        <f aca="false">(D237-INDEX(Summary!$C:$C,MATCH(B237,Summary!$A:$A,0)))*Summary!$B$9</f>
        <v>-0.190443500068476</v>
      </c>
      <c r="K237" s="3" t="n">
        <f aca="false">(E237-INDEX(Summary!$D:$D,MATCH(B237,Summary!$A:$A,0)))*Summary!$B$9*COS(RADIANS(D237))</f>
        <v>-0.209561047199002</v>
      </c>
      <c r="L237" s="3" t="n">
        <f aca="false">SQRT(J237^2+K237^2)</f>
        <v>0.283168782215614</v>
      </c>
    </row>
    <row r="238" customFormat="false" ht="15" hidden="false" customHeight="false" outlineLevel="0" collapsed="false">
      <c r="A238" s="0" t="s">
        <v>16</v>
      </c>
      <c r="B238" s="0" t="s">
        <v>18</v>
      </c>
      <c r="C238" s="0" t="n">
        <v>178.581356691</v>
      </c>
      <c r="D238" s="2" t="n">
        <v>-34.9183371</v>
      </c>
      <c r="E238" s="2" t="n">
        <v>138.6055008</v>
      </c>
      <c r="F238" s="0" t="n">
        <v>3</v>
      </c>
      <c r="G238" s="0" t="n">
        <v>32</v>
      </c>
      <c r="H238" s="0" t="n">
        <v>0.01</v>
      </c>
      <c r="I238" s="0" t="n">
        <v>-2.08887076377869</v>
      </c>
      <c r="J238" s="3" t="n">
        <f aca="false">(D238-INDEX(Summary!$C:$C,MATCH(B238,Summary!$A:$A,0)))*Summary!$B$9</f>
        <v>-0.179323999938532</v>
      </c>
      <c r="K238" s="3" t="n">
        <f aca="false">(E238-INDEX(Summary!$D:$D,MATCH(B238,Summary!$A:$A,0)))*Summary!$B$9*COS(RADIANS(D238))</f>
        <v>-0.200443405783302</v>
      </c>
      <c r="L238" s="3" t="n">
        <f aca="false">SQRT(J238^2+K238^2)</f>
        <v>0.268951028769113</v>
      </c>
    </row>
    <row r="239" customFormat="false" ht="15" hidden="false" customHeight="false" outlineLevel="0" collapsed="false">
      <c r="A239" s="0" t="s">
        <v>16</v>
      </c>
      <c r="B239" s="0" t="s">
        <v>18</v>
      </c>
      <c r="C239" s="0" t="n">
        <v>179.58281081</v>
      </c>
      <c r="D239" s="2" t="n">
        <v>-34.9183371</v>
      </c>
      <c r="E239" s="2" t="n">
        <v>138.6055009</v>
      </c>
      <c r="F239" s="0" t="n">
        <v>3</v>
      </c>
      <c r="G239" s="0" t="n">
        <v>32</v>
      </c>
      <c r="H239" s="0" t="n">
        <v>0.01</v>
      </c>
      <c r="I239" s="0" t="n">
        <v>-2.08904433250427</v>
      </c>
      <c r="J239" s="3" t="n">
        <f aca="false">(D239-INDEX(Summary!$C:$C,MATCH(B239,Summary!$A:$A,0)))*Summary!$B$9</f>
        <v>-0.179323999938532</v>
      </c>
      <c r="K239" s="3" t="n">
        <f aca="false">(E239-INDEX(Summary!$D:$D,MATCH(B239,Summary!$A:$A,0)))*Summary!$B$9*COS(RADIANS(D239))</f>
        <v>-0.191325761520886</v>
      </c>
      <c r="L239" s="3" t="n">
        <f aca="false">SQRT(J239^2+K239^2)</f>
        <v>0.262226322049297</v>
      </c>
    </row>
    <row r="240" customFormat="false" ht="15" hidden="false" customHeight="false" outlineLevel="0" collapsed="false">
      <c r="A240" s="0" t="s">
        <v>16</v>
      </c>
      <c r="B240" s="0" t="s">
        <v>18</v>
      </c>
      <c r="C240" s="0" t="n">
        <v>180.584294281</v>
      </c>
      <c r="D240" s="2" t="n">
        <v>-34.918337</v>
      </c>
      <c r="E240" s="2" t="n">
        <v>138.6055012</v>
      </c>
      <c r="F240" s="0" t="n">
        <v>3</v>
      </c>
      <c r="G240" s="0" t="n">
        <v>32</v>
      </c>
      <c r="H240" s="0" t="n">
        <v>0.01</v>
      </c>
      <c r="I240" s="0" t="n">
        <v>-2.08919715881348</v>
      </c>
      <c r="J240" s="3" t="n">
        <f aca="false">(D240-INDEX(Summary!$C:$C,MATCH(B240,Summary!$A:$A,0)))*Summary!$B$9</f>
        <v>-0.168204499808589</v>
      </c>
      <c r="K240" s="3" t="n">
        <f aca="false">(E240-INDEX(Summary!$D:$D,MATCH(B240,Summary!$A:$A,0)))*Summary!$B$9*COS(RADIANS(D240))</f>
        <v>-0.163972836707588</v>
      </c>
      <c r="L240" s="3" t="n">
        <f aca="false">SQRT(J240^2+K240^2)</f>
        <v>0.23490390574401</v>
      </c>
    </row>
    <row r="241" customFormat="false" ht="15" hidden="false" customHeight="false" outlineLevel="0" collapsed="false">
      <c r="A241" s="0" t="s">
        <v>16</v>
      </c>
      <c r="B241" s="0" t="s">
        <v>18</v>
      </c>
      <c r="C241" s="0" t="n">
        <v>181.585689733</v>
      </c>
      <c r="D241" s="2" t="n">
        <v>-34.9183371</v>
      </c>
      <c r="E241" s="2" t="n">
        <v>138.6055014</v>
      </c>
      <c r="F241" s="0" t="n">
        <v>3</v>
      </c>
      <c r="G241" s="0" t="n">
        <v>32</v>
      </c>
      <c r="H241" s="0" t="n">
        <v>0.01</v>
      </c>
      <c r="I241" s="0" t="n">
        <v>-2.08939957618713</v>
      </c>
      <c r="J241" s="3" t="n">
        <f aca="false">(D241-INDEX(Summary!$C:$C,MATCH(B241,Summary!$A:$A,0)))*Summary!$B$9</f>
        <v>-0.179323999938532</v>
      </c>
      <c r="K241" s="3" t="n">
        <f aca="false">(E241-INDEX(Summary!$D:$D,MATCH(B241,Summary!$A:$A,0)))*Summary!$B$9*COS(RADIANS(D241))</f>
        <v>-0.145737550574362</v>
      </c>
      <c r="L241" s="3" t="n">
        <f aca="false">SQRT(J241^2+K241^2)</f>
        <v>0.23107689326579</v>
      </c>
    </row>
    <row r="242" customFormat="false" ht="15" hidden="false" customHeight="false" outlineLevel="0" collapsed="false">
      <c r="A242" s="0" t="s">
        <v>16</v>
      </c>
      <c r="B242" s="0" t="s">
        <v>18</v>
      </c>
      <c r="C242" s="0" t="n">
        <v>182.58700063</v>
      </c>
      <c r="D242" s="2" t="n">
        <v>-34.918337</v>
      </c>
      <c r="E242" s="2" t="n">
        <v>138.6055014</v>
      </c>
      <c r="F242" s="0" t="n">
        <v>3</v>
      </c>
      <c r="G242" s="0" t="n">
        <v>32</v>
      </c>
      <c r="H242" s="0" t="n">
        <v>0.0223606797749979</v>
      </c>
      <c r="I242" s="0" t="n">
        <v>-2.08953285217285</v>
      </c>
      <c r="J242" s="3" t="n">
        <f aca="false">(D242-INDEX(Summary!$C:$C,MATCH(B242,Summary!$A:$A,0)))*Summary!$B$9</f>
        <v>-0.168204499808589</v>
      </c>
      <c r="K242" s="3" t="n">
        <f aca="false">(E242-INDEX(Summary!$D:$D,MATCH(B242,Summary!$A:$A,0)))*Summary!$B$9*COS(RADIANS(D242))</f>
        <v>-0.145737550751927</v>
      </c>
      <c r="L242" s="3" t="n">
        <f aca="false">SQRT(J242^2+K242^2)</f>
        <v>0.222558278783396</v>
      </c>
    </row>
    <row r="243" customFormat="false" ht="15" hidden="false" customHeight="false" outlineLevel="0" collapsed="false">
      <c r="A243" s="0" t="s">
        <v>16</v>
      </c>
      <c r="B243" s="0" t="s">
        <v>18</v>
      </c>
      <c r="C243" s="0" t="n">
        <v>183.588248064</v>
      </c>
      <c r="D243" s="2" t="n">
        <v>-34.9183372</v>
      </c>
      <c r="E243" s="2" t="n">
        <v>138.6055018</v>
      </c>
      <c r="F243" s="0" t="n">
        <v>3</v>
      </c>
      <c r="G243" s="0" t="n">
        <v>32</v>
      </c>
      <c r="H243" s="0" t="n">
        <v>0.127279220613579</v>
      </c>
      <c r="I243" s="0" t="n">
        <v>-2.0573194026947</v>
      </c>
      <c r="J243" s="3" t="n">
        <f aca="false">(D243-INDEX(Summary!$C:$C,MATCH(B243,Summary!$A:$A,0)))*Summary!$B$9</f>
        <v>-0.190443500068476</v>
      </c>
      <c r="K243" s="3" t="n">
        <f aca="false">(E243-INDEX(Summary!$D:$D,MATCH(B243,Summary!$A:$A,0)))*Summary!$B$9*COS(RADIANS(D243))</f>
        <v>-0.109266981165735</v>
      </c>
      <c r="L243" s="3" t="n">
        <f aca="false">SQRT(J243^2+K243^2)</f>
        <v>0.219563202498516</v>
      </c>
    </row>
    <row r="244" customFormat="false" ht="15" hidden="false" customHeight="false" outlineLevel="0" collapsed="false">
      <c r="A244" s="0" t="s">
        <v>16</v>
      </c>
      <c r="B244" s="0" t="s">
        <v>18</v>
      </c>
      <c r="C244" s="0" t="n">
        <v>184.589514498</v>
      </c>
      <c r="D244" s="2" t="n">
        <v>-34.9183379</v>
      </c>
      <c r="E244" s="2" t="n">
        <v>138.6055031</v>
      </c>
      <c r="F244" s="0" t="n">
        <v>3</v>
      </c>
      <c r="G244" s="0" t="n">
        <v>32</v>
      </c>
      <c r="H244" s="0" t="n">
        <v>0.0316227766016838</v>
      </c>
      <c r="I244" s="0" t="n">
        <v>-2.09313154220581</v>
      </c>
      <c r="J244" s="3" t="n">
        <f aca="false">(D244-INDEX(Summary!$C:$C,MATCH(B244,Summary!$A:$A,0)))*Summary!$B$9</f>
        <v>-0.268279999397905</v>
      </c>
      <c r="K244" s="3" t="n">
        <f aca="false">(E244-INDEX(Summary!$D:$D,MATCH(B244,Summary!$A:$A,0)))*Summary!$B$9*COS(RADIANS(D244))</f>
        <v>0.00926236551698299</v>
      </c>
      <c r="L244" s="3" t="n">
        <f aca="false">SQRT(J244^2+K244^2)</f>
        <v>0.26843984333908</v>
      </c>
    </row>
    <row r="245" customFormat="false" ht="15" hidden="false" customHeight="false" outlineLevel="0" collapsed="false">
      <c r="A245" s="0" t="s">
        <v>16</v>
      </c>
      <c r="B245" s="0" t="s">
        <v>18</v>
      </c>
      <c r="C245" s="0" t="n">
        <v>185.590985431</v>
      </c>
      <c r="D245" s="2" t="n">
        <v>-34.9183378</v>
      </c>
      <c r="E245" s="2" t="n">
        <v>138.6055033</v>
      </c>
      <c r="F245" s="0" t="n">
        <v>3</v>
      </c>
      <c r="G245" s="0" t="n">
        <v>31</v>
      </c>
      <c r="H245" s="0" t="n">
        <v>0</v>
      </c>
      <c r="I245" s="0" t="n">
        <v>-2.1010172367096</v>
      </c>
      <c r="J245" s="3" t="n">
        <f aca="false">(D245-INDEX(Summary!$C:$C,MATCH(B245,Summary!$A:$A,0)))*Summary!$B$9</f>
        <v>-0.257160500058049</v>
      </c>
      <c r="K245" s="3" t="n">
        <f aca="false">(E245-INDEX(Summary!$D:$D,MATCH(B245,Summary!$A:$A,0)))*Summary!$B$9*COS(RADIANS(D245))</f>
        <v>0.0274976513061879</v>
      </c>
      <c r="L245" s="3" t="n">
        <f aca="false">SQRT(J245^2+K245^2)</f>
        <v>0.258626455757068</v>
      </c>
    </row>
    <row r="246" customFormat="false" ht="15" hidden="false" customHeight="false" outlineLevel="0" collapsed="false">
      <c r="A246" s="0" t="s">
        <v>16</v>
      </c>
      <c r="B246" s="0" t="s">
        <v>18</v>
      </c>
      <c r="C246" s="0" t="n">
        <v>186.592330532</v>
      </c>
      <c r="D246" s="2" t="n">
        <v>-34.9183379</v>
      </c>
      <c r="E246" s="2" t="n">
        <v>138.6055035</v>
      </c>
      <c r="F246" s="0" t="n">
        <v>3</v>
      </c>
      <c r="G246" s="0" t="n">
        <v>31</v>
      </c>
      <c r="H246" s="0" t="n">
        <v>0</v>
      </c>
      <c r="I246" s="0" t="n">
        <v>-2.08954977989197</v>
      </c>
      <c r="J246" s="3" t="n">
        <f aca="false">(D246-INDEX(Summary!$C:$C,MATCH(B246,Summary!$A:$A,0)))*Summary!$B$9</f>
        <v>-0.268279999397905</v>
      </c>
      <c r="K246" s="3" t="n">
        <f aca="false">(E246-INDEX(Summary!$D:$D,MATCH(B246,Summary!$A:$A,0)))*Summary!$B$9*COS(RADIANS(D246))</f>
        <v>0.0457329344369974</v>
      </c>
      <c r="L246" s="3" t="n">
        <f aca="false">SQRT(J246^2+K246^2)</f>
        <v>0.272150067736825</v>
      </c>
    </row>
    <row r="247" customFormat="false" ht="15" hidden="false" customHeight="false" outlineLevel="0" collapsed="false">
      <c r="A247" s="0" t="s">
        <v>16</v>
      </c>
      <c r="B247" s="0" t="s">
        <v>18</v>
      </c>
      <c r="C247" s="0" t="n">
        <v>187.593603873</v>
      </c>
      <c r="D247" s="2" t="n">
        <v>-34.9183378</v>
      </c>
      <c r="E247" s="2" t="n">
        <v>138.6055038</v>
      </c>
      <c r="F247" s="0" t="n">
        <v>3</v>
      </c>
      <c r="G247" s="0" t="n">
        <v>31</v>
      </c>
      <c r="H247" s="0" t="n">
        <v>0</v>
      </c>
      <c r="I247" s="0" t="n">
        <v>-2.1063072681427</v>
      </c>
      <c r="J247" s="3" t="n">
        <f aca="false">(D247-INDEX(Summary!$C:$C,MATCH(B247,Summary!$A:$A,0)))*Summary!$B$9</f>
        <v>-0.257160500058049</v>
      </c>
      <c r="K247" s="3" t="n">
        <f aca="false">(E247-INDEX(Summary!$D:$D,MATCH(B247,Summary!$A:$A,0)))*Summary!$B$9*COS(RADIANS(D247))</f>
        <v>0.0730858618639027</v>
      </c>
      <c r="L247" s="3" t="n">
        <f aca="false">SQRT(J247^2+K247^2)</f>
        <v>0.267344470663777</v>
      </c>
    </row>
    <row r="248" customFormat="false" ht="15" hidden="false" customHeight="false" outlineLevel="0" collapsed="false">
      <c r="A248" s="0" t="s">
        <v>16</v>
      </c>
      <c r="B248" s="0" t="s">
        <v>18</v>
      </c>
      <c r="C248" s="0" t="n">
        <v>188.595061011</v>
      </c>
      <c r="D248" s="2" t="n">
        <v>-34.9183378</v>
      </c>
      <c r="E248" s="2" t="n">
        <v>138.6055042</v>
      </c>
      <c r="F248" s="0" t="n">
        <v>3</v>
      </c>
      <c r="G248" s="0" t="n">
        <v>31</v>
      </c>
      <c r="H248" s="0" t="n">
        <v>0</v>
      </c>
      <c r="I248" s="0" t="n">
        <v>-2.10394811630249</v>
      </c>
      <c r="J248" s="3" t="n">
        <f aca="false">(D248-INDEX(Summary!$C:$C,MATCH(B248,Summary!$A:$A,0)))*Summary!$B$9</f>
        <v>-0.257160500058049</v>
      </c>
      <c r="K248" s="3" t="n">
        <f aca="false">(E248-INDEX(Summary!$D:$D,MATCH(B248,Summary!$A:$A,0)))*Summary!$B$9*COS(RADIANS(D248))</f>
        <v>0.109556430828353</v>
      </c>
      <c r="L248" s="3" t="n">
        <f aca="false">SQRT(J248^2+K248^2)</f>
        <v>0.279524836688895</v>
      </c>
    </row>
    <row r="249" customFormat="false" ht="15" hidden="false" customHeight="false" outlineLevel="0" collapsed="false">
      <c r="A249" s="0" t="s">
        <v>16</v>
      </c>
      <c r="B249" s="0" t="s">
        <v>18</v>
      </c>
      <c r="C249" s="0" t="n">
        <v>189.596581148</v>
      </c>
      <c r="D249" s="2" t="n">
        <v>-34.9183376</v>
      </c>
      <c r="E249" s="2" t="n">
        <v>138.6055042</v>
      </c>
      <c r="F249" s="0" t="n">
        <v>3</v>
      </c>
      <c r="G249" s="0" t="n">
        <v>31</v>
      </c>
      <c r="H249" s="0" t="n">
        <v>0</v>
      </c>
      <c r="I249" s="0" t="n">
        <v>-2.10324931144714</v>
      </c>
      <c r="J249" s="3" t="n">
        <f aca="false">(D249-INDEX(Summary!$C:$C,MATCH(B249,Summary!$A:$A,0)))*Summary!$B$9</f>
        <v>-0.234921499798162</v>
      </c>
      <c r="K249" s="3" t="n">
        <f aca="false">(E249-INDEX(Summary!$D:$D,MATCH(B249,Summary!$A:$A,0)))*Summary!$B$9*COS(RADIANS(D249))</f>
        <v>0.109556431095317</v>
      </c>
      <c r="L249" s="3" t="n">
        <f aca="false">SQRT(J249^2+K249^2)</f>
        <v>0.259211733264065</v>
      </c>
    </row>
    <row r="250" customFormat="false" ht="15" hidden="false" customHeight="false" outlineLevel="0" collapsed="false">
      <c r="A250" s="0" t="s">
        <v>16</v>
      </c>
      <c r="B250" s="0" t="s">
        <v>18</v>
      </c>
      <c r="C250" s="0" t="n">
        <v>190.598108581</v>
      </c>
      <c r="D250" s="2" t="n">
        <v>-34.9183375</v>
      </c>
      <c r="E250" s="2" t="n">
        <v>138.6055043</v>
      </c>
      <c r="F250" s="0" t="n">
        <v>3</v>
      </c>
      <c r="G250" s="0" t="n">
        <v>32</v>
      </c>
      <c r="H250" s="0" t="n">
        <v>0.01</v>
      </c>
      <c r="I250" s="0" t="n">
        <v>-2.10193085670471</v>
      </c>
      <c r="J250" s="3" t="n">
        <f aca="false">(D250-INDEX(Summary!$C:$C,MATCH(B250,Summary!$A:$A,0)))*Summary!$B$9</f>
        <v>-0.223801999668218</v>
      </c>
      <c r="K250" s="3" t="n">
        <f aca="false">(E250-INDEX(Summary!$D:$D,MATCH(B250,Summary!$A:$A,0)))*Summary!$B$9*COS(RADIANS(D250))</f>
        <v>0.118674072855391</v>
      </c>
      <c r="L250" s="3" t="n">
        <f aca="false">SQRT(J250^2+K250^2)</f>
        <v>0.253319700425332</v>
      </c>
    </row>
    <row r="251" customFormat="false" ht="15" hidden="false" customHeight="false" outlineLevel="0" collapsed="false">
      <c r="A251" s="0" t="s">
        <v>16</v>
      </c>
      <c r="B251" s="0" t="s">
        <v>18</v>
      </c>
      <c r="C251" s="0" t="n">
        <v>191.599631311</v>
      </c>
      <c r="D251" s="2" t="n">
        <v>-34.9183375</v>
      </c>
      <c r="E251" s="2" t="n">
        <v>138.6055045</v>
      </c>
      <c r="F251" s="0" t="n">
        <v>3</v>
      </c>
      <c r="G251" s="0" t="n">
        <v>31</v>
      </c>
      <c r="H251" s="0" t="n">
        <v>0</v>
      </c>
      <c r="I251" s="0" t="n">
        <v>-2.09473967552185</v>
      </c>
      <c r="J251" s="3" t="n">
        <f aca="false">(D251-INDEX(Summary!$C:$C,MATCH(B251,Summary!$A:$A,0)))*Summary!$B$9</f>
        <v>-0.223801999668218</v>
      </c>
      <c r="K251" s="3" t="n">
        <f aca="false">(E251-INDEX(Summary!$D:$D,MATCH(B251,Summary!$A:$A,0)))*Summary!$B$9*COS(RADIANS(D251))</f>
        <v>0.136909356108574</v>
      </c>
      <c r="L251" s="3" t="n">
        <f aca="false">SQRT(J251^2+K251^2)</f>
        <v>0.262357593458923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6" min="5" style="0" width="11"/>
    <col collapsed="false" customWidth="true" hidden="false" outlineLevel="0" max="7" min="7" style="0" width="15"/>
    <col collapsed="false" customWidth="true" hidden="false" outlineLevel="0" max="8" min="8" style="0" width="20"/>
    <col collapsed="false" customWidth="true" hidden="false" outlineLevel="0" max="9" min="9" style="0" width="11"/>
  </cols>
  <sheetData>
    <row r="1" customFormat="false" ht="15" hidden="false" customHeight="false" outlineLevel="0" collapsed="false">
      <c r="A1" s="1" t="s">
        <v>1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customFormat="false" ht="15" hidden="false" customHeight="false" outlineLevel="0" collapsed="false">
      <c r="A2" s="0" t="s">
        <v>13</v>
      </c>
      <c r="B2" s="0" t="n">
        <f aca="false">COUNTIF(Data!$B$2:$B$251,A2)</f>
        <v>73</v>
      </c>
      <c r="C2" s="2" t="n">
        <f aca="false">AVERAGEIFS(Data!$D$2:$D$251,Data!$B$2:$B$251,A2)</f>
        <v>-34.9183750876712</v>
      </c>
      <c r="D2" s="2" t="n">
        <f aca="false">AVERAGEIFS(Data!$E$2:$E$251,Data!$B$2:$B$251,A2)</f>
        <v>138.605540835616</v>
      </c>
      <c r="E2" s="4" t="n">
        <f aca="false">SQRT(SUMPRODUCT((Data!$B$2:$B$251=A2)*Data!$J$2:$J$251^2)/B2)</f>
        <v>0.537303468818212</v>
      </c>
      <c r="F2" s="4" t="n">
        <f aca="false">SQRT(SUMPRODUCT((Data!$B$2:$B$251=A2)*Data!$K$2:$K$251^2)/B2)</f>
        <v>0.281798881291068</v>
      </c>
      <c r="G2" s="4" t="n">
        <f aca="false">SQRT(E2^2+F2^2)</f>
        <v>0.606717089837579</v>
      </c>
      <c r="H2" s="4" t="n">
        <f aca="false">_xlfn.MAXIFS(Data!$L$2:$L$251,Data!$B$2:$B$251,A2)</f>
        <v>1.14144466012825</v>
      </c>
      <c r="I2" s="4" t="n">
        <f aca="false">_xlfn.MAXIFS(Data!$C$2:$C$251,Data!$B$2:$B$251,A2)-_xlfn.MINIFS(Data!$C$2:$C$251,Data!$B$2:$B$251,A2)</f>
        <v>72.105296491</v>
      </c>
    </row>
    <row r="3" customFormat="false" ht="15" hidden="false" customHeight="false" outlineLevel="0" collapsed="false">
      <c r="A3" s="0" t="s">
        <v>15</v>
      </c>
      <c r="B3" s="0" t="n">
        <f aca="false">COUNTIF(Data!$B$2:$B$251,A3)</f>
        <v>34</v>
      </c>
      <c r="C3" s="2" t="n">
        <f aca="false">AVERAGEIFS(Data!$D$2:$D$251,Data!$B$2:$B$251,A3)</f>
        <v>-34.9183822352941</v>
      </c>
      <c r="D3" s="2" t="n">
        <f aca="false">AVERAGEIFS(Data!$E$2:$E$251,Data!$B$2:$B$251,A3)</f>
        <v>138.605554323529</v>
      </c>
      <c r="E3" s="4" t="n">
        <f aca="false">SQRT(SUMPRODUCT((Data!$B$2:$B$251=A3)*Data!$J$2:$J$251^2)/B3)</f>
        <v>0.0385079693032435</v>
      </c>
      <c r="F3" s="4" t="n">
        <f aca="false">SQRT(SUMPRODUCT((Data!$B$2:$B$251=A3)*Data!$K$2:$K$251^2)/B3)</f>
        <v>0.0376617838414292</v>
      </c>
      <c r="G3" s="4" t="n">
        <f aca="false">SQRT(E3^2+F3^2)</f>
        <v>0.0538634724277787</v>
      </c>
      <c r="H3" s="4" t="n">
        <f aca="false">_xlfn.MAXIFS(Data!$L$2:$L$251,Data!$B$2:$B$251,A3)</f>
        <v>0.108152240674565</v>
      </c>
      <c r="I3" s="4" t="n">
        <f aca="false">_xlfn.MAXIFS(Data!$C$2:$C$251,Data!$B$2:$B$251,A3)-_xlfn.MINIFS(Data!$C$2:$C$251,Data!$B$2:$B$251,A3)</f>
        <v>33.0475154200001</v>
      </c>
    </row>
    <row r="4" customFormat="false" ht="15" hidden="false" customHeight="false" outlineLevel="0" collapsed="false">
      <c r="A4" s="0" t="s">
        <v>17</v>
      </c>
      <c r="B4" s="0" t="n">
        <f aca="false">COUNTIF(Data!$B$2:$B$251,A4)</f>
        <v>17</v>
      </c>
      <c r="C4" s="2" t="n">
        <f aca="false">AVERAGEIFS(Data!$D$2:$D$251,Data!$B$2:$B$251,A4)</f>
        <v>-34.9183845588235</v>
      </c>
      <c r="D4" s="2" t="n">
        <f aca="false">AVERAGEIFS(Data!$E$2:$E$251,Data!$B$2:$B$251,A4)</f>
        <v>138.605547829412</v>
      </c>
      <c r="E4" s="4" t="n">
        <f aca="false">SQRT(SUMPRODUCT((Data!$B$2:$B$251=A4)*Data!$J$2:$J$251^2)/B4)</f>
        <v>0.0467204013819199</v>
      </c>
      <c r="F4" s="4" t="n">
        <f aca="false">SQRT(SUMPRODUCT((Data!$B$2:$B$251=A4)*Data!$K$2:$K$251^2)/B4)</f>
        <v>0.0573047145891903</v>
      </c>
      <c r="G4" s="4" t="n">
        <f aca="false">SQRT(E4^2+F4^2)</f>
        <v>0.0739366365169275</v>
      </c>
      <c r="H4" s="4" t="n">
        <f aca="false">_xlfn.MAXIFS(Data!$L$2:$L$251,Data!$B$2:$B$251,A4)</f>
        <v>0.170352124861786</v>
      </c>
      <c r="I4" s="4" t="n">
        <f aca="false">_xlfn.MAXIFS(Data!$C$2:$C$251,Data!$B$2:$B$251,A4)-_xlfn.MINIFS(Data!$C$2:$C$251,Data!$B$2:$B$251,A4)</f>
        <v>16.023629862</v>
      </c>
    </row>
    <row r="5" customFormat="false" ht="15" hidden="false" customHeight="false" outlineLevel="0" collapsed="false">
      <c r="A5" s="0" t="s">
        <v>18</v>
      </c>
      <c r="B5" s="0" t="n">
        <f aca="false">COUNTIF(Data!$B$2:$B$251,A5)</f>
        <v>126</v>
      </c>
      <c r="C5" s="2" t="n">
        <f aca="false">AVERAGEIFS(Data!$D$2:$D$251,Data!$B$2:$B$251,A5)</f>
        <v>-34.9183354873016</v>
      </c>
      <c r="D5" s="2" t="n">
        <f aca="false">AVERAGEIFS(Data!$E$2:$E$251,Data!$B$2:$B$251,A5)</f>
        <v>138.605502998413</v>
      </c>
      <c r="E5" s="4" t="n">
        <f aca="false">SQRT(SUMPRODUCT((Data!$B$2:$B$251=A5)*Data!$J$2:$J$251^2)/B5)</f>
        <v>0.130549284267595</v>
      </c>
      <c r="F5" s="4" t="n">
        <f aca="false">SQRT(SUMPRODUCT((Data!$B$2:$B$251=A5)*Data!$K$2:$K$251^2)/B5)</f>
        <v>0.318009420160648</v>
      </c>
      <c r="G5" s="4" t="n">
        <f aca="false">SQRT(E5^2+F5^2)</f>
        <v>0.343763155288191</v>
      </c>
      <c r="H5" s="4" t="n">
        <f aca="false">_xlfn.MAXIFS(Data!$L$2:$L$251,Data!$B$2:$B$251,A5)</f>
        <v>0.649363631121384</v>
      </c>
      <c r="I5" s="4" t="n">
        <f aca="false">_xlfn.MAXIFS(Data!$C$2:$C$251,Data!$B$2:$B$251,A5)-_xlfn.MINIFS(Data!$C$2:$C$251,Data!$B$2:$B$251,A5)</f>
        <v>125.177426594</v>
      </c>
    </row>
    <row r="9" customFormat="false" ht="15" hidden="false" customHeight="false" outlineLevel="0" collapsed="false">
      <c r="A9" s="0" t="s">
        <v>27</v>
      </c>
      <c r="B9" s="0" t="n">
        <v>111195</v>
      </c>
    </row>
    <row r="10" customFormat="false" ht="15" hidden="false" customHeight="false" outlineLevel="0" collapsed="false">
      <c r="A10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2026-10-12T23:32:37Z</dcterms:created>
  <dc:creator>openpyxl</dc:creator>
  <dc:description/>
  <dc:language>en-US</dc:language>
  <cp:lastModifiedBy/>
  <dcterms:modified xsi:type="dcterms:W3CDTF">2026-10-12T23:32:37Z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